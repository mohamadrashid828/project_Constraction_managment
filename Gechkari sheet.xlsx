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dc2f0e0b6ec93352/Desktop/payments/Gechkary payment/"/>
    </mc:Choice>
  </mc:AlternateContent>
  <xr:revisionPtr revIDLastSave="9" documentId="13_ncr:1_{A317F681-5926-46BE-A94C-410800BE5601}" xr6:coauthVersionLast="47" xr6:coauthVersionMax="47" xr10:uidLastSave="{8183DC79-242D-4A61-AA41-FBEA93C42CE5}"/>
  <bookViews>
    <workbookView xWindow="-90" yWindow="-90" windowWidth="19380" windowHeight="10260" activeTab="1" xr2:uid="{00000000-000D-0000-FFFF-FFFF00000000}"/>
  </bookViews>
  <sheets>
    <sheet name="Payment 1" sheetId="1" r:id="rId1"/>
    <sheet name="Total payment" sheetId="2" r:id="rId2"/>
  </sheets>
  <definedNames>
    <definedName name="_xlnm.Print_Area" localSheetId="1">'Total payment'!$A$1:$P$30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2" l="1"/>
  <c r="F74" i="2"/>
  <c r="J74" i="2"/>
  <c r="N74" i="2"/>
  <c r="F23" i="2"/>
  <c r="J23" i="2"/>
  <c r="N23" i="2"/>
  <c r="N24" i="2"/>
  <c r="O88" i="2"/>
  <c r="O63" i="2"/>
  <c r="O26" i="2"/>
  <c r="O25" i="2"/>
  <c r="O28" i="2"/>
  <c r="O56" i="2"/>
  <c r="O74" i="2"/>
  <c r="F56" i="2"/>
  <c r="N56" i="2"/>
  <c r="O24" i="2"/>
  <c r="O23" i="2"/>
  <c r="I26" i="2"/>
  <c r="J26" i="2" s="1"/>
  <c r="N25" i="2"/>
  <c r="J25" i="2"/>
  <c r="N22" i="2"/>
  <c r="N13" i="2"/>
  <c r="O13" i="2" s="1"/>
  <c r="N53" i="2"/>
  <c r="J52" i="2"/>
  <c r="O52" i="2" s="1"/>
  <c r="N20" i="2"/>
  <c r="O20" i="2" s="1"/>
  <c r="J21" i="2"/>
  <c r="O21" i="2" s="1"/>
  <c r="F12" i="2"/>
  <c r="O12" i="2" s="1"/>
  <c r="F19" i="2"/>
  <c r="O19" i="2" s="1"/>
  <c r="F10" i="2"/>
  <c r="F8" i="2"/>
  <c r="J4" i="2"/>
  <c r="O4" i="2" s="1"/>
  <c r="J10" i="2"/>
  <c r="J8" i="2"/>
  <c r="F18" i="2"/>
  <c r="N18" i="2"/>
  <c r="F73" i="2"/>
  <c r="F72" i="2"/>
  <c r="F71" i="2"/>
  <c r="O71" i="2" s="1"/>
  <c r="J73" i="2"/>
  <c r="J72" i="2"/>
  <c r="J71" i="2"/>
  <c r="N16" i="2"/>
  <c r="O16" i="2" s="1"/>
  <c r="N17" i="2"/>
  <c r="O17" i="2" s="1"/>
  <c r="N15" i="2"/>
  <c r="O15" i="2" s="1"/>
  <c r="J14" i="2"/>
  <c r="O14" i="2" s="1"/>
  <c r="J11" i="2"/>
  <c r="O11" i="2" s="1"/>
  <c r="J53" i="2"/>
  <c r="F51" i="2"/>
  <c r="O51" i="2" s="1"/>
  <c r="J49" i="2"/>
  <c r="F49" i="2"/>
  <c r="O49" i="2" s="1"/>
  <c r="F48" i="2"/>
  <c r="O48" i="2" s="1"/>
  <c r="F9" i="2"/>
  <c r="O9" i="2" s="1"/>
  <c r="F47" i="2"/>
  <c r="O47" i="2" s="1"/>
  <c r="J7" i="2"/>
  <c r="F46" i="2"/>
  <c r="O46" i="2" s="1"/>
  <c r="J45" i="2"/>
  <c r="O45" i="2" s="1"/>
  <c r="F6" i="2"/>
  <c r="O6" i="2" s="1"/>
  <c r="F7" i="2"/>
  <c r="J5" i="2"/>
  <c r="O5" i="2" s="1"/>
  <c r="J44" i="2"/>
  <c r="O44" i="2" s="1"/>
  <c r="J43" i="2"/>
  <c r="O43" i="2" s="1"/>
  <c r="J42" i="2"/>
  <c r="O42" i="2" s="1"/>
  <c r="O8" i="2" l="1"/>
  <c r="O72" i="2"/>
  <c r="O10" i="2"/>
  <c r="O29" i="2" s="1"/>
  <c r="O18" i="2"/>
  <c r="O7" i="2"/>
  <c r="O73" i="2"/>
  <c r="O53" i="2"/>
</calcChain>
</file>

<file path=xl/sharedStrings.xml><?xml version="1.0" encoding="utf-8"?>
<sst xmlns="http://schemas.openxmlformats.org/spreadsheetml/2006/main" count="442" uniqueCount="138">
  <si>
    <t>N.floors</t>
  </si>
  <si>
    <t>check</t>
  </si>
  <si>
    <t>A1 Tower</t>
  </si>
  <si>
    <t>A2 Tower</t>
  </si>
  <si>
    <t>A3 Tower</t>
  </si>
  <si>
    <t>B1 Tower</t>
  </si>
  <si>
    <t>B2 Tower</t>
  </si>
  <si>
    <t>سلفەکان</t>
  </si>
  <si>
    <t>سلفەی یەکەم</t>
  </si>
  <si>
    <t>مەتر</t>
  </si>
  <si>
    <t>نهۆم</t>
  </si>
  <si>
    <t>پارە</t>
  </si>
  <si>
    <t>کۆی گشتی</t>
  </si>
  <si>
    <t>F.Floor</t>
  </si>
  <si>
    <t>G.floor</t>
  </si>
  <si>
    <t>سلفەی دووەم</t>
  </si>
  <si>
    <t>سەقف</t>
  </si>
  <si>
    <t>دیوار کەفمال</t>
  </si>
  <si>
    <t>دیوار مخمر</t>
  </si>
  <si>
    <t>تۆتاڵ</t>
  </si>
  <si>
    <t>تەئمینات</t>
  </si>
  <si>
    <t>شوقە</t>
  </si>
  <si>
    <t>قادرمە</t>
  </si>
  <si>
    <t>تەنیشت پەنجەرە</t>
  </si>
  <si>
    <t>تەسلیحات</t>
  </si>
  <si>
    <t>ژمارەی نهۆم</t>
  </si>
  <si>
    <t>THE OTHERS</t>
  </si>
  <si>
    <t>سلفەی ٦</t>
  </si>
  <si>
    <t>سلفەی ٧</t>
  </si>
  <si>
    <t>سلفەی ٨</t>
  </si>
  <si>
    <t>سلفەی ٩</t>
  </si>
  <si>
    <t>سلفەی ١٠</t>
  </si>
  <si>
    <t>سلفەی ١١</t>
  </si>
  <si>
    <t>سلفەی ١٢</t>
  </si>
  <si>
    <t>سلفەی ١٣</t>
  </si>
  <si>
    <t>سلفەی ١٤</t>
  </si>
  <si>
    <t>سلفەی ١٥</t>
  </si>
  <si>
    <t>سلفەی ١٦</t>
  </si>
  <si>
    <t>سلفەی ١٧</t>
  </si>
  <si>
    <t>سلفەی ١٨</t>
  </si>
  <si>
    <t>سلفەی ١٩</t>
  </si>
  <si>
    <t>سلفەی ١</t>
  </si>
  <si>
    <t>سلفەی ٢</t>
  </si>
  <si>
    <t>سلفەی ٣</t>
  </si>
  <si>
    <t>سلفەی ٤</t>
  </si>
  <si>
    <t>سلفەی ٥</t>
  </si>
  <si>
    <t>A2</t>
  </si>
  <si>
    <t>A1</t>
  </si>
  <si>
    <t>A3</t>
  </si>
  <si>
    <t>B1</t>
  </si>
  <si>
    <t>B2</t>
  </si>
  <si>
    <t>بەروار</t>
  </si>
  <si>
    <t>30.11.2024</t>
  </si>
  <si>
    <t>(8-11,13)</t>
  </si>
  <si>
    <t>30.12.2025</t>
  </si>
  <si>
    <t>(2-7,12,14)</t>
  </si>
  <si>
    <t>30.01.2025</t>
  </si>
  <si>
    <t>(15-18)</t>
  </si>
  <si>
    <t>(12-16)</t>
  </si>
  <si>
    <t>12.08.2024</t>
  </si>
  <si>
    <t>04.09.2024</t>
  </si>
  <si>
    <t>(9-10)</t>
  </si>
  <si>
    <t>(7-11)</t>
  </si>
  <si>
    <t>21.08.2024</t>
  </si>
  <si>
    <t>(11-16)</t>
  </si>
  <si>
    <t>16.04.2025</t>
  </si>
  <si>
    <t>(19-20)</t>
  </si>
  <si>
    <t>30.04.2025</t>
  </si>
  <si>
    <t>14.05.2025</t>
  </si>
  <si>
    <t>(17-19)</t>
  </si>
  <si>
    <t>07.05.2025</t>
  </si>
  <si>
    <t>(20-21)</t>
  </si>
  <si>
    <t>(11,13,18)</t>
  </si>
  <si>
    <t>undone سەقف</t>
  </si>
  <si>
    <t>19.06.2025</t>
  </si>
  <si>
    <t>(2,3,14,15)</t>
  </si>
  <si>
    <t>03.07.2025</t>
  </si>
  <si>
    <t>(4-10,16,17,20)</t>
  </si>
  <si>
    <t>21.08.2025</t>
  </si>
  <si>
    <t>(2-21)</t>
  </si>
  <si>
    <t>20دیواری پەنجەرە</t>
  </si>
  <si>
    <t>(2-22)</t>
  </si>
  <si>
    <t>21سەقفی قادرمە</t>
  </si>
  <si>
    <t>(8-17)</t>
  </si>
  <si>
    <t>10پەنجەرە</t>
  </si>
  <si>
    <t>20قادرمە</t>
  </si>
  <si>
    <t>سلفەی ٢٠</t>
  </si>
  <si>
    <t>1کۆریدۆر</t>
  </si>
  <si>
    <t>کۆریدۆر</t>
  </si>
  <si>
    <t>28.08.2025</t>
  </si>
  <si>
    <t>(16-18,20-21)</t>
  </si>
  <si>
    <t>سەقف و قادرمە5</t>
  </si>
  <si>
    <t>263.35+قادرمە</t>
  </si>
  <si>
    <t>263.5+سەقف</t>
  </si>
  <si>
    <t>A1G-2,3,4</t>
  </si>
  <si>
    <t>444(A1G-2,3,4)</t>
  </si>
  <si>
    <t>135.27(A1G-2)</t>
  </si>
  <si>
    <t>25.09.2025</t>
  </si>
  <si>
    <t>(4,5,8,9,12)</t>
  </si>
  <si>
    <t>(4,5,8-15)</t>
  </si>
  <si>
    <t>19.11.2025</t>
  </si>
  <si>
    <t>(4-8,10)</t>
  </si>
  <si>
    <t>8.10.2025</t>
  </si>
  <si>
    <t>(11-A1G-2,3,4)</t>
  </si>
  <si>
    <t>335(A1G-2,3,4)</t>
  </si>
  <si>
    <t>15.10.2025</t>
  </si>
  <si>
    <t>(2,3,6,7)</t>
  </si>
  <si>
    <t>10.12.2025</t>
  </si>
  <si>
    <t>(2,3,9,21)</t>
  </si>
  <si>
    <t>20تەسلیحات</t>
  </si>
  <si>
    <t>تابق=250,000</t>
  </si>
  <si>
    <t>سەقفی قادرمە</t>
  </si>
  <si>
    <t>سلفەی 14</t>
  </si>
  <si>
    <t>سلفەی 5</t>
  </si>
  <si>
    <t>سلفەی 16</t>
  </si>
  <si>
    <t>(5-6)</t>
  </si>
  <si>
    <t>(2-4)</t>
  </si>
  <si>
    <t>(17-21)</t>
  </si>
  <si>
    <t>18.09.2024</t>
  </si>
  <si>
    <t>(6-8)</t>
  </si>
  <si>
    <t>سلفەی 6</t>
  </si>
  <si>
    <t>(2-5)</t>
  </si>
  <si>
    <t>(2-7,18-21)</t>
  </si>
  <si>
    <t>10 پەنجەرە</t>
  </si>
  <si>
    <t>سلفەی 29</t>
  </si>
  <si>
    <t>08.10.2025</t>
  </si>
  <si>
    <t xml:space="preserve"> بە قادرمەوە1</t>
  </si>
  <si>
    <t>(2-19)</t>
  </si>
  <si>
    <t>کۆریدۆر19</t>
  </si>
  <si>
    <t>قادرمە19</t>
  </si>
  <si>
    <t>20نەقسی پێشتر</t>
  </si>
  <si>
    <t>20فەرقی کەفمال و مخمر</t>
  </si>
  <si>
    <t>(2-19,21)</t>
  </si>
  <si>
    <t>4.2.2026</t>
  </si>
  <si>
    <t>4.2.2025</t>
  </si>
  <si>
    <t>سلفەی 34</t>
  </si>
  <si>
    <t>(12-21)</t>
  </si>
  <si>
    <t>(4-21)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</si>
</sst>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* #,##0.00\ [$د.ع.‏-801]_-;\-* #,##0.00\ [$د.ع.‏-801]_-;_-* &quot;-&quot;??\ [$د.ع.‏-801]_-;_-@_-"/>
    <numFmt numFmtId="165" formatCode="_ [$د.ع.‏-492]* #,##0.00_ ;_ [$د.ع.‏-492]* \-#,##0.00_ ;_ [$د.ع.‏-492]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3" xfId="1" applyFill="1" applyBorder="1" applyAlignment="1">
      <alignment horizontal="center" vertical="center"/>
    </xf>
    <xf numFmtId="0" fontId="0" fillId="6" borderId="3" xfId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8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0" fillId="6" borderId="0" xfId="2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165" fontId="0" fillId="6" borderId="0" xfId="0" applyNumberFormat="1" applyFill="1"/>
    <xf numFmtId="165" fontId="5" fillId="6" borderId="0" xfId="0" applyNumberFormat="1" applyFont="1" applyFill="1"/>
    <xf numFmtId="0" fontId="5" fillId="0" borderId="0" xfId="0" applyFont="1"/>
    <xf numFmtId="165" fontId="5" fillId="0" borderId="0" xfId="0" applyNumberFormat="1" applyFon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0" fontId="1" fillId="6" borderId="6" xfId="1" applyFill="1" applyBorder="1" applyAlignment="1">
      <alignment horizontal="center" vertical="center"/>
    </xf>
    <xf numFmtId="0" fontId="1" fillId="6" borderId="8" xfId="1" applyFill="1" applyBorder="1" applyAlignment="1">
      <alignment horizontal="center" vertical="center"/>
    </xf>
    <xf numFmtId="0" fontId="0" fillId="6" borderId="7" xfId="1" applyFont="1" applyFill="1" applyBorder="1" applyAlignment="1">
      <alignment horizontal="center" vertical="center"/>
    </xf>
    <xf numFmtId="0" fontId="0" fillId="6" borderId="8" xfId="1" applyFont="1" applyFill="1" applyBorder="1" applyAlignment="1">
      <alignment horizontal="center" vertical="center"/>
    </xf>
    <xf numFmtId="0" fontId="0" fillId="6" borderId="6" xfId="1" applyFont="1" applyFill="1" applyBorder="1" applyAlignment="1">
      <alignment horizontal="center" vertical="center"/>
    </xf>
    <xf numFmtId="0" fontId="1" fillId="5" borderId="2" xfId="1" applyFill="1" applyBorder="1" applyAlignment="1">
      <alignment horizontal="center" vertical="center"/>
    </xf>
    <xf numFmtId="0" fontId="1" fillId="5" borderId="3" xfId="1" applyFill="1" applyBorder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65" fontId="3" fillId="10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</cellXfs>
  <cellStyles count="3">
    <cellStyle name="20% - Accent5" xfId="1" builtinId="46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3"/>
  <sheetViews>
    <sheetView workbookViewId="0">
      <selection activeCell="M8" sqref="M8:M9"/>
    </sheetView>
  </sheetViews>
  <sheetFormatPr defaultRowHeight="14.75" x14ac:dyDescent="0.75"/>
  <cols>
    <col min="3" max="3" width="15.04296875" customWidth="1"/>
    <col min="4" max="4" width="9.6328125" customWidth="1"/>
    <col min="5" max="5" width="13.453125" customWidth="1"/>
    <col min="6" max="6" width="9.6328125" customWidth="1"/>
    <col min="7" max="7" width="14" customWidth="1"/>
    <col min="8" max="8" width="9.6328125" customWidth="1"/>
    <col min="9" max="9" width="10.58984375" customWidth="1"/>
    <col min="10" max="14" width="9.6328125" customWidth="1"/>
    <col min="15" max="15" width="11.1796875" customWidth="1"/>
    <col min="16" max="16" width="5.76953125" customWidth="1"/>
    <col min="18" max="18" width="5.31640625" customWidth="1"/>
    <col min="19" max="19" width="5.453125" customWidth="1"/>
    <col min="20" max="20" width="5.08984375" customWidth="1"/>
    <col min="21" max="21" width="9.31640625" customWidth="1"/>
    <col min="22" max="22" width="5.08984375" customWidth="1"/>
    <col min="23" max="23" width="10.1796875" customWidth="1"/>
  </cols>
  <sheetData>
    <row r="1" spans="1:22" x14ac:dyDescent="0.75">
      <c r="B1" s="25" t="s">
        <v>2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22" x14ac:dyDescent="0.75">
      <c r="A2" s="1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22" x14ac:dyDescent="0.75">
      <c r="A3" s="1"/>
      <c r="B3" s="30" t="s">
        <v>0</v>
      </c>
      <c r="C3" s="33" t="s">
        <v>16</v>
      </c>
      <c r="D3" s="34"/>
      <c r="E3" s="35" t="s">
        <v>17</v>
      </c>
      <c r="F3" s="34"/>
      <c r="G3" s="35" t="s">
        <v>18</v>
      </c>
      <c r="H3" s="34"/>
      <c r="I3" s="35" t="s">
        <v>111</v>
      </c>
      <c r="J3" s="34"/>
      <c r="K3" s="35" t="s">
        <v>23</v>
      </c>
      <c r="L3" s="34"/>
      <c r="M3" s="31" t="s">
        <v>24</v>
      </c>
      <c r="N3" s="32"/>
      <c r="O3" s="31" t="s">
        <v>73</v>
      </c>
      <c r="P3" s="32"/>
      <c r="Q3" s="31" t="s">
        <v>88</v>
      </c>
      <c r="R3" s="32"/>
    </row>
    <row r="4" spans="1:22" x14ac:dyDescent="0.75">
      <c r="A4" s="1"/>
      <c r="B4" s="30"/>
      <c r="C4" s="8" t="s">
        <v>9</v>
      </c>
      <c r="D4" s="7" t="s">
        <v>1</v>
      </c>
      <c r="E4" s="8" t="s">
        <v>9</v>
      </c>
      <c r="F4" s="7" t="s">
        <v>1</v>
      </c>
      <c r="G4" s="8" t="s">
        <v>9</v>
      </c>
      <c r="H4" s="7" t="s">
        <v>1</v>
      </c>
      <c r="I4" s="8" t="s">
        <v>9</v>
      </c>
      <c r="J4" s="7" t="s">
        <v>1</v>
      </c>
      <c r="K4" s="8" t="s">
        <v>9</v>
      </c>
      <c r="L4" s="7" t="s">
        <v>1</v>
      </c>
      <c r="M4" s="7" t="s">
        <v>9</v>
      </c>
      <c r="N4" s="7" t="s">
        <v>1</v>
      </c>
      <c r="O4" s="7" t="s">
        <v>9</v>
      </c>
      <c r="P4" s="7" t="s">
        <v>1</v>
      </c>
      <c r="Q4" s="7" t="s">
        <v>9</v>
      </c>
      <c r="R4" s="7" t="s">
        <v>1</v>
      </c>
    </row>
    <row r="5" spans="1:22" x14ac:dyDescent="0.75">
      <c r="A5" s="1"/>
      <c r="B5" s="6">
        <v>22</v>
      </c>
      <c r="C5" s="2">
        <v>223</v>
      </c>
      <c r="D5" s="2">
        <v>1</v>
      </c>
      <c r="E5" s="2">
        <v>1245</v>
      </c>
      <c r="F5" s="2">
        <v>1</v>
      </c>
      <c r="G5" s="2">
        <v>1245</v>
      </c>
      <c r="H5" s="2">
        <v>1</v>
      </c>
      <c r="I5" s="2">
        <v>21.2</v>
      </c>
      <c r="J5" s="2">
        <v>1</v>
      </c>
      <c r="K5" s="2">
        <v>74</v>
      </c>
      <c r="L5" s="2">
        <v>1</v>
      </c>
      <c r="M5" s="2"/>
      <c r="N5" s="2">
        <v>0</v>
      </c>
      <c r="O5" s="2"/>
      <c r="P5" s="2">
        <v>0</v>
      </c>
      <c r="Q5" s="2"/>
      <c r="R5" s="2">
        <v>0</v>
      </c>
    </row>
    <row r="6" spans="1:22" x14ac:dyDescent="0.75">
      <c r="A6" s="1"/>
      <c r="B6" s="6">
        <v>21</v>
      </c>
      <c r="C6" s="2">
        <v>223</v>
      </c>
      <c r="D6" s="2">
        <v>1</v>
      </c>
      <c r="E6" s="2">
        <v>1118</v>
      </c>
      <c r="F6" s="2">
        <v>1</v>
      </c>
      <c r="G6" s="2">
        <v>945</v>
      </c>
      <c r="H6" s="2">
        <v>1</v>
      </c>
      <c r="I6" s="2">
        <v>21.2</v>
      </c>
      <c r="J6" s="2">
        <v>1</v>
      </c>
      <c r="K6" s="2">
        <v>74</v>
      </c>
      <c r="L6" s="2">
        <v>1</v>
      </c>
      <c r="M6" s="2"/>
      <c r="N6" s="2">
        <v>1</v>
      </c>
      <c r="O6" s="2"/>
      <c r="P6" s="2">
        <v>0</v>
      </c>
      <c r="Q6" s="2">
        <v>123</v>
      </c>
      <c r="R6" s="2">
        <v>1</v>
      </c>
    </row>
    <row r="7" spans="1:22" x14ac:dyDescent="0.75">
      <c r="A7" s="1"/>
      <c r="B7" s="6">
        <v>20</v>
      </c>
      <c r="C7" s="2">
        <v>223</v>
      </c>
      <c r="D7" s="2">
        <v>1</v>
      </c>
      <c r="E7" s="2">
        <v>1118</v>
      </c>
      <c r="F7" s="2">
        <v>1</v>
      </c>
      <c r="G7" s="2">
        <v>1013.65</v>
      </c>
      <c r="H7" s="2">
        <v>1</v>
      </c>
      <c r="I7" s="2">
        <v>21.2</v>
      </c>
      <c r="J7" s="2">
        <v>1</v>
      </c>
      <c r="K7" s="2">
        <v>74</v>
      </c>
      <c r="L7" s="2">
        <v>1</v>
      </c>
      <c r="M7" s="2"/>
      <c r="N7" s="2">
        <v>1</v>
      </c>
      <c r="O7" s="2"/>
      <c r="P7" s="2">
        <v>0</v>
      </c>
      <c r="Q7" s="24">
        <v>135.27000000000001</v>
      </c>
      <c r="R7" s="2">
        <v>1</v>
      </c>
    </row>
    <row r="8" spans="1:22" x14ac:dyDescent="0.75">
      <c r="A8" s="1"/>
      <c r="B8" s="6">
        <v>19</v>
      </c>
      <c r="C8" s="2">
        <v>223</v>
      </c>
      <c r="D8" s="2">
        <v>1</v>
      </c>
      <c r="E8" s="2">
        <v>1118</v>
      </c>
      <c r="F8" s="2">
        <v>1</v>
      </c>
      <c r="G8" s="2">
        <v>945</v>
      </c>
      <c r="H8" s="2">
        <v>1</v>
      </c>
      <c r="I8" s="2">
        <v>21.2</v>
      </c>
      <c r="J8" s="2">
        <v>1</v>
      </c>
      <c r="K8" s="2">
        <v>74</v>
      </c>
      <c r="L8" s="2">
        <v>1</v>
      </c>
      <c r="M8" s="2"/>
      <c r="N8" s="2">
        <v>1</v>
      </c>
      <c r="O8" s="2"/>
      <c r="P8" s="2">
        <v>0</v>
      </c>
      <c r="Q8" s="2">
        <v>123</v>
      </c>
      <c r="R8" s="2">
        <v>1</v>
      </c>
    </row>
    <row r="9" spans="1:22" x14ac:dyDescent="0.75">
      <c r="A9" s="1"/>
      <c r="B9" s="6">
        <v>18</v>
      </c>
      <c r="C9" s="2">
        <v>223</v>
      </c>
      <c r="D9" s="2">
        <v>1</v>
      </c>
      <c r="E9" s="2">
        <v>1118</v>
      </c>
      <c r="F9" s="2">
        <v>1</v>
      </c>
      <c r="G9" s="2">
        <v>945</v>
      </c>
      <c r="H9" s="2">
        <v>1</v>
      </c>
      <c r="I9" s="2">
        <v>21.2</v>
      </c>
      <c r="J9" s="2">
        <v>1</v>
      </c>
      <c r="K9" s="2">
        <v>74</v>
      </c>
      <c r="L9" s="2">
        <v>1</v>
      </c>
      <c r="M9" s="2"/>
      <c r="N9" s="2">
        <v>1</v>
      </c>
      <c r="O9" s="2"/>
      <c r="P9" s="2">
        <v>0</v>
      </c>
      <c r="Q9" s="2">
        <v>123</v>
      </c>
      <c r="R9" s="2">
        <v>1</v>
      </c>
      <c r="S9" s="29"/>
      <c r="T9" s="29"/>
      <c r="U9" s="29"/>
      <c r="V9" s="29"/>
    </row>
    <row r="10" spans="1:22" x14ac:dyDescent="0.75">
      <c r="A10" s="1"/>
      <c r="B10" s="6">
        <v>17</v>
      </c>
      <c r="C10" s="2">
        <v>223</v>
      </c>
      <c r="D10" s="2">
        <v>1</v>
      </c>
      <c r="E10" s="2">
        <v>1118</v>
      </c>
      <c r="F10" s="2">
        <v>1</v>
      </c>
      <c r="G10" s="2">
        <v>945</v>
      </c>
      <c r="H10" s="2">
        <v>1</v>
      </c>
      <c r="I10" s="2">
        <v>21.2</v>
      </c>
      <c r="J10" s="2">
        <v>1</v>
      </c>
      <c r="K10" s="2">
        <v>74</v>
      </c>
      <c r="L10" s="2">
        <v>1</v>
      </c>
      <c r="M10" s="2"/>
      <c r="N10" s="2">
        <v>1</v>
      </c>
      <c r="O10" s="2"/>
      <c r="P10" s="2">
        <v>0</v>
      </c>
      <c r="Q10" s="2">
        <v>123</v>
      </c>
      <c r="R10" s="2">
        <v>1</v>
      </c>
      <c r="S10" s="29"/>
      <c r="T10" s="29"/>
      <c r="U10" s="29"/>
      <c r="V10" s="29"/>
    </row>
    <row r="11" spans="1:22" x14ac:dyDescent="0.75">
      <c r="A11" s="1"/>
      <c r="B11" s="6">
        <v>16</v>
      </c>
      <c r="C11" s="2">
        <v>223.1</v>
      </c>
      <c r="D11" s="2">
        <v>1</v>
      </c>
      <c r="E11" s="2">
        <v>1151</v>
      </c>
      <c r="F11" s="2">
        <v>1</v>
      </c>
      <c r="G11" s="2">
        <v>945</v>
      </c>
      <c r="H11" s="2">
        <v>1</v>
      </c>
      <c r="I11" s="2">
        <v>21.2</v>
      </c>
      <c r="J11" s="2">
        <v>1</v>
      </c>
      <c r="K11" s="2">
        <v>74</v>
      </c>
      <c r="L11" s="2">
        <v>1</v>
      </c>
      <c r="M11" s="2"/>
      <c r="N11" s="2">
        <v>1</v>
      </c>
      <c r="O11" s="2"/>
      <c r="P11" s="2">
        <v>0</v>
      </c>
      <c r="Q11" s="2">
        <v>123</v>
      </c>
      <c r="R11" s="2">
        <v>1</v>
      </c>
    </row>
    <row r="12" spans="1:22" x14ac:dyDescent="0.75">
      <c r="A12" s="1"/>
      <c r="B12" s="6">
        <v>15</v>
      </c>
      <c r="C12" s="2">
        <v>225</v>
      </c>
      <c r="D12" s="2">
        <v>1</v>
      </c>
      <c r="E12" s="2">
        <v>1151</v>
      </c>
      <c r="F12" s="2">
        <v>1</v>
      </c>
      <c r="G12" s="2">
        <v>945</v>
      </c>
      <c r="H12" s="2">
        <v>1</v>
      </c>
      <c r="I12" s="2">
        <v>21.2</v>
      </c>
      <c r="J12" s="2">
        <v>1</v>
      </c>
      <c r="K12" s="2">
        <v>74</v>
      </c>
      <c r="L12" s="2">
        <v>1</v>
      </c>
      <c r="M12" s="2"/>
      <c r="N12" s="2">
        <v>1</v>
      </c>
      <c r="O12" s="2"/>
      <c r="P12" s="2">
        <v>0</v>
      </c>
      <c r="Q12" s="2">
        <v>123</v>
      </c>
      <c r="R12" s="2">
        <v>1</v>
      </c>
    </row>
    <row r="13" spans="1:22" x14ac:dyDescent="0.75">
      <c r="A13" s="1"/>
      <c r="B13" s="6">
        <v>14</v>
      </c>
      <c r="C13" s="2">
        <v>227</v>
      </c>
      <c r="D13" s="2">
        <v>1</v>
      </c>
      <c r="E13" s="2">
        <v>1148</v>
      </c>
      <c r="F13" s="2">
        <v>1</v>
      </c>
      <c r="G13" s="2">
        <v>945</v>
      </c>
      <c r="H13" s="2">
        <v>1</v>
      </c>
      <c r="I13" s="2">
        <v>21.2</v>
      </c>
      <c r="J13" s="2">
        <v>1</v>
      </c>
      <c r="K13" s="2">
        <v>74</v>
      </c>
      <c r="L13" s="2">
        <v>1</v>
      </c>
      <c r="M13" s="2"/>
      <c r="N13" s="2">
        <v>1</v>
      </c>
      <c r="O13" s="2"/>
      <c r="P13" s="2">
        <v>0</v>
      </c>
      <c r="Q13" s="2">
        <v>123</v>
      </c>
      <c r="R13" s="2">
        <v>1</v>
      </c>
    </row>
    <row r="14" spans="1:22" x14ac:dyDescent="0.75">
      <c r="A14" s="1"/>
      <c r="B14" s="6">
        <v>13</v>
      </c>
      <c r="C14" s="2">
        <v>223.2</v>
      </c>
      <c r="D14" s="2">
        <v>1</v>
      </c>
      <c r="E14" s="2">
        <v>1148</v>
      </c>
      <c r="F14" s="2">
        <v>1</v>
      </c>
      <c r="G14" s="2">
        <v>945</v>
      </c>
      <c r="H14" s="2">
        <v>1</v>
      </c>
      <c r="I14" s="2">
        <v>21.2</v>
      </c>
      <c r="J14" s="2">
        <v>1</v>
      </c>
      <c r="K14" s="2">
        <v>74</v>
      </c>
      <c r="L14" s="2">
        <v>1</v>
      </c>
      <c r="M14" s="2"/>
      <c r="N14" s="2">
        <v>1</v>
      </c>
      <c r="O14" s="2"/>
      <c r="P14" s="2">
        <v>0</v>
      </c>
      <c r="Q14" s="2">
        <v>123</v>
      </c>
      <c r="R14" s="2">
        <v>1</v>
      </c>
    </row>
    <row r="15" spans="1:22" x14ac:dyDescent="0.75">
      <c r="A15" s="1"/>
      <c r="B15" s="6">
        <v>12</v>
      </c>
      <c r="C15" s="2">
        <v>223</v>
      </c>
      <c r="D15" s="2">
        <v>1</v>
      </c>
      <c r="E15" s="2">
        <v>1148</v>
      </c>
      <c r="F15" s="2">
        <v>1</v>
      </c>
      <c r="G15" s="2">
        <v>945</v>
      </c>
      <c r="H15" s="2">
        <v>1</v>
      </c>
      <c r="I15" s="2">
        <v>21.2</v>
      </c>
      <c r="J15" s="2">
        <v>1</v>
      </c>
      <c r="K15" s="2">
        <v>74</v>
      </c>
      <c r="L15" s="2">
        <v>1</v>
      </c>
      <c r="M15" s="2"/>
      <c r="N15" s="2">
        <v>1</v>
      </c>
      <c r="O15" s="2"/>
      <c r="P15" s="2">
        <v>0</v>
      </c>
      <c r="Q15" s="2">
        <v>123</v>
      </c>
      <c r="R15" s="2">
        <v>1</v>
      </c>
    </row>
    <row r="16" spans="1:22" x14ac:dyDescent="0.75">
      <c r="A16" s="1"/>
      <c r="B16" s="6">
        <v>11</v>
      </c>
      <c r="C16" s="2">
        <v>225.8</v>
      </c>
      <c r="D16" s="2">
        <v>1</v>
      </c>
      <c r="E16" s="2">
        <v>1145</v>
      </c>
      <c r="F16" s="2">
        <v>1</v>
      </c>
      <c r="G16" s="2">
        <v>945.8</v>
      </c>
      <c r="H16" s="2">
        <v>1</v>
      </c>
      <c r="I16" s="2">
        <v>21.2</v>
      </c>
      <c r="J16" s="2">
        <v>1</v>
      </c>
      <c r="K16" s="2">
        <v>74</v>
      </c>
      <c r="L16" s="2">
        <v>1</v>
      </c>
      <c r="M16" s="2"/>
      <c r="N16" s="2">
        <v>1</v>
      </c>
      <c r="O16" s="2"/>
      <c r="P16" s="2">
        <v>0</v>
      </c>
      <c r="Q16" s="2">
        <v>123</v>
      </c>
      <c r="R16" s="2">
        <v>1</v>
      </c>
    </row>
    <row r="17" spans="1:18" x14ac:dyDescent="0.75">
      <c r="A17" s="1"/>
      <c r="B17" s="6">
        <v>10</v>
      </c>
      <c r="C17" s="2">
        <v>224</v>
      </c>
      <c r="D17" s="2">
        <v>1</v>
      </c>
      <c r="E17" s="2">
        <v>1145</v>
      </c>
      <c r="F17" s="2">
        <v>1</v>
      </c>
      <c r="G17" s="2">
        <v>945.8</v>
      </c>
      <c r="H17" s="2">
        <v>1</v>
      </c>
      <c r="I17" s="2">
        <v>21.2</v>
      </c>
      <c r="J17" s="2">
        <v>1</v>
      </c>
      <c r="K17" s="2">
        <v>74</v>
      </c>
      <c r="L17" s="2">
        <v>1</v>
      </c>
      <c r="M17" s="2"/>
      <c r="N17" s="2">
        <v>1</v>
      </c>
      <c r="O17" s="2"/>
      <c r="P17" s="2">
        <v>0</v>
      </c>
      <c r="Q17" s="2">
        <v>123</v>
      </c>
      <c r="R17" s="2">
        <v>1</v>
      </c>
    </row>
    <row r="18" spans="1:18" x14ac:dyDescent="0.75">
      <c r="A18" s="1"/>
      <c r="B18" s="6">
        <v>9</v>
      </c>
      <c r="C18" s="2">
        <v>201</v>
      </c>
      <c r="D18" s="2">
        <v>1</v>
      </c>
      <c r="E18" s="2">
        <v>1057</v>
      </c>
      <c r="F18" s="2">
        <v>1</v>
      </c>
      <c r="G18" s="2">
        <v>945</v>
      </c>
      <c r="H18" s="2">
        <v>1</v>
      </c>
      <c r="I18" s="2">
        <v>21.2</v>
      </c>
      <c r="J18" s="2">
        <v>1</v>
      </c>
      <c r="K18" s="2">
        <v>74</v>
      </c>
      <c r="L18" s="2">
        <v>1</v>
      </c>
      <c r="M18" s="2"/>
      <c r="N18" s="2">
        <v>1</v>
      </c>
      <c r="O18" s="2">
        <v>23</v>
      </c>
      <c r="P18" s="2">
        <v>0</v>
      </c>
      <c r="Q18" s="2">
        <v>123</v>
      </c>
      <c r="R18" s="2">
        <v>1</v>
      </c>
    </row>
    <row r="19" spans="1:18" x14ac:dyDescent="0.75">
      <c r="A19" s="1"/>
      <c r="B19" s="6">
        <v>8</v>
      </c>
      <c r="C19" s="2">
        <v>223.7</v>
      </c>
      <c r="D19" s="2">
        <v>1</v>
      </c>
      <c r="E19" s="2">
        <v>1145</v>
      </c>
      <c r="F19" s="2">
        <v>1</v>
      </c>
      <c r="G19" s="2">
        <v>945.8</v>
      </c>
      <c r="H19" s="2">
        <v>1</v>
      </c>
      <c r="I19" s="2">
        <v>21.2</v>
      </c>
      <c r="J19" s="2">
        <v>1</v>
      </c>
      <c r="K19" s="2">
        <v>74</v>
      </c>
      <c r="L19" s="2">
        <v>1</v>
      </c>
      <c r="M19" s="2"/>
      <c r="N19" s="2">
        <v>1</v>
      </c>
      <c r="O19" s="2"/>
      <c r="P19" s="2">
        <v>0</v>
      </c>
      <c r="Q19" s="2">
        <v>123</v>
      </c>
      <c r="R19" s="2">
        <v>1</v>
      </c>
    </row>
    <row r="20" spans="1:18" x14ac:dyDescent="0.75">
      <c r="A20" s="1"/>
      <c r="B20" s="6">
        <v>7</v>
      </c>
      <c r="C20" s="2">
        <v>223.7</v>
      </c>
      <c r="D20" s="2">
        <v>1</v>
      </c>
      <c r="E20" s="2">
        <v>1145</v>
      </c>
      <c r="F20" s="2">
        <v>1</v>
      </c>
      <c r="G20" s="2">
        <v>945.8</v>
      </c>
      <c r="H20" s="2">
        <v>1</v>
      </c>
      <c r="I20" s="2">
        <v>21.2</v>
      </c>
      <c r="J20" s="2">
        <v>1</v>
      </c>
      <c r="K20" s="2">
        <v>74</v>
      </c>
      <c r="L20" s="2">
        <v>1</v>
      </c>
      <c r="M20" s="2"/>
      <c r="N20" s="2">
        <v>1</v>
      </c>
      <c r="O20" s="2"/>
      <c r="P20" s="2">
        <v>0</v>
      </c>
      <c r="Q20" s="2">
        <v>123</v>
      </c>
      <c r="R20" s="2">
        <v>1</v>
      </c>
    </row>
    <row r="21" spans="1:18" x14ac:dyDescent="0.75">
      <c r="A21" s="1"/>
      <c r="B21" s="6">
        <v>6</v>
      </c>
      <c r="C21" s="2">
        <v>220.4</v>
      </c>
      <c r="D21" s="2">
        <v>1</v>
      </c>
      <c r="E21" s="2">
        <v>1135</v>
      </c>
      <c r="F21" s="2">
        <v>1</v>
      </c>
      <c r="G21" s="2">
        <v>945.8</v>
      </c>
      <c r="H21" s="2">
        <v>1</v>
      </c>
      <c r="I21" s="2">
        <v>21.2</v>
      </c>
      <c r="J21" s="2">
        <v>1</v>
      </c>
      <c r="K21" s="2">
        <v>74</v>
      </c>
      <c r="L21" s="2">
        <v>1</v>
      </c>
      <c r="M21" s="2"/>
      <c r="N21" s="2">
        <v>1</v>
      </c>
      <c r="O21" s="2"/>
      <c r="P21" s="2">
        <v>0</v>
      </c>
      <c r="Q21" s="2">
        <v>123</v>
      </c>
      <c r="R21" s="2">
        <v>1</v>
      </c>
    </row>
    <row r="22" spans="1:18" x14ac:dyDescent="0.75">
      <c r="A22" s="1"/>
      <c r="B22" s="6">
        <v>5</v>
      </c>
      <c r="C22" s="2">
        <v>221.5</v>
      </c>
      <c r="D22" s="2">
        <v>1</v>
      </c>
      <c r="E22" s="2">
        <v>1146</v>
      </c>
      <c r="F22" s="2">
        <v>1</v>
      </c>
      <c r="G22" s="2">
        <v>945.8</v>
      </c>
      <c r="H22" s="2">
        <v>1</v>
      </c>
      <c r="I22" s="2">
        <v>21.2</v>
      </c>
      <c r="J22" s="2">
        <v>1</v>
      </c>
      <c r="K22" s="2">
        <v>74</v>
      </c>
      <c r="L22" s="2">
        <v>1</v>
      </c>
      <c r="M22" s="2"/>
      <c r="N22" s="2">
        <v>1</v>
      </c>
      <c r="O22" s="2"/>
      <c r="P22" s="2">
        <v>0</v>
      </c>
      <c r="Q22" s="2">
        <v>123</v>
      </c>
      <c r="R22" s="2">
        <v>1</v>
      </c>
    </row>
    <row r="23" spans="1:18" x14ac:dyDescent="0.75">
      <c r="A23" s="1"/>
      <c r="B23" s="6">
        <v>4</v>
      </c>
      <c r="C23" s="2">
        <v>220</v>
      </c>
      <c r="D23" s="2">
        <v>1</v>
      </c>
      <c r="E23" s="2">
        <v>1143</v>
      </c>
      <c r="F23" s="2">
        <v>1</v>
      </c>
      <c r="G23" s="2">
        <v>945.8</v>
      </c>
      <c r="H23" s="2">
        <v>1</v>
      </c>
      <c r="I23" s="2">
        <v>21.2</v>
      </c>
      <c r="J23" s="2">
        <v>1</v>
      </c>
      <c r="K23" s="2">
        <v>74</v>
      </c>
      <c r="L23" s="2">
        <v>1</v>
      </c>
      <c r="M23" s="2"/>
      <c r="N23" s="2">
        <v>1</v>
      </c>
      <c r="O23" s="2"/>
      <c r="P23" s="2">
        <v>0</v>
      </c>
      <c r="Q23" s="2">
        <v>123</v>
      </c>
      <c r="R23" s="2">
        <v>1</v>
      </c>
    </row>
    <row r="24" spans="1:18" x14ac:dyDescent="0.75">
      <c r="A24" s="1"/>
      <c r="B24" s="6">
        <v>3</v>
      </c>
      <c r="C24" s="2">
        <v>221.5</v>
      </c>
      <c r="D24" s="2">
        <v>1</v>
      </c>
      <c r="E24" s="2">
        <v>1146</v>
      </c>
      <c r="F24" s="2">
        <v>1</v>
      </c>
      <c r="G24" s="2">
        <v>945</v>
      </c>
      <c r="H24" s="2">
        <v>1</v>
      </c>
      <c r="I24" s="2">
        <v>21.2</v>
      </c>
      <c r="J24" s="2">
        <v>1</v>
      </c>
      <c r="K24" s="2">
        <v>74</v>
      </c>
      <c r="L24" s="2">
        <v>1</v>
      </c>
      <c r="M24" s="2"/>
      <c r="N24" s="2">
        <v>1</v>
      </c>
      <c r="O24" s="2"/>
      <c r="P24" s="2">
        <v>0</v>
      </c>
      <c r="Q24" s="2">
        <v>123</v>
      </c>
      <c r="R24" s="2">
        <v>1</v>
      </c>
    </row>
    <row r="25" spans="1:18" x14ac:dyDescent="0.75">
      <c r="A25" s="1"/>
      <c r="B25" s="6">
        <v>2</v>
      </c>
      <c r="C25" s="2">
        <v>220</v>
      </c>
      <c r="D25" s="2">
        <v>1</v>
      </c>
      <c r="E25" s="2">
        <v>1143</v>
      </c>
      <c r="F25" s="2">
        <v>1</v>
      </c>
      <c r="G25" s="2">
        <v>945</v>
      </c>
      <c r="H25" s="2">
        <v>1</v>
      </c>
      <c r="I25" s="2">
        <v>21.2</v>
      </c>
      <c r="J25" s="2">
        <v>1</v>
      </c>
      <c r="K25" s="2">
        <v>74</v>
      </c>
      <c r="L25" s="2">
        <v>1</v>
      </c>
      <c r="M25" s="2"/>
      <c r="N25" s="2">
        <v>1</v>
      </c>
      <c r="O25" s="2"/>
      <c r="P25" s="2">
        <v>0</v>
      </c>
      <c r="Q25" s="2">
        <v>123</v>
      </c>
      <c r="R25" s="2">
        <v>1</v>
      </c>
    </row>
    <row r="26" spans="1:18" x14ac:dyDescent="0.75">
      <c r="B26" s="6" t="s">
        <v>13</v>
      </c>
      <c r="C26" s="2"/>
      <c r="D26" s="2">
        <v>0</v>
      </c>
      <c r="E26" s="2"/>
      <c r="F26" s="2">
        <v>0</v>
      </c>
      <c r="G26" s="2"/>
      <c r="H26" s="2">
        <v>0</v>
      </c>
      <c r="I26" s="2"/>
      <c r="J26" s="2">
        <v>0</v>
      </c>
      <c r="K26" s="2"/>
      <c r="L26" s="2">
        <v>0</v>
      </c>
      <c r="M26" s="2"/>
      <c r="N26" s="2">
        <v>0</v>
      </c>
      <c r="O26" s="2"/>
      <c r="P26" s="2">
        <v>0</v>
      </c>
      <c r="Q26" s="2"/>
      <c r="R26" s="2">
        <v>0</v>
      </c>
    </row>
    <row r="27" spans="1:18" x14ac:dyDescent="0.75">
      <c r="B27" s="6" t="s">
        <v>14</v>
      </c>
      <c r="C27" s="2"/>
      <c r="D27" s="2">
        <v>0</v>
      </c>
      <c r="E27" s="2" t="s">
        <v>95</v>
      </c>
      <c r="F27" s="2">
        <v>1</v>
      </c>
      <c r="G27" s="2" t="s">
        <v>104</v>
      </c>
      <c r="H27" s="2">
        <v>1</v>
      </c>
      <c r="I27" s="2"/>
      <c r="J27" s="2">
        <v>0</v>
      </c>
      <c r="K27" s="2"/>
      <c r="L27" s="2">
        <v>0</v>
      </c>
      <c r="M27" s="2"/>
      <c r="N27" s="2">
        <v>0</v>
      </c>
      <c r="O27" s="2"/>
      <c r="P27" s="2">
        <v>0</v>
      </c>
      <c r="Q27" s="2"/>
      <c r="R27" s="2">
        <v>0</v>
      </c>
    </row>
    <row r="28" spans="1:18" x14ac:dyDescent="0.75">
      <c r="J28" s="1"/>
    </row>
    <row r="30" spans="1:18" x14ac:dyDescent="0.75">
      <c r="B30" s="25" t="s">
        <v>3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spans="1:18" x14ac:dyDescent="0.75"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</row>
    <row r="32" spans="1:18" x14ac:dyDescent="0.75">
      <c r="B32" s="30" t="s">
        <v>0</v>
      </c>
      <c r="C32" s="33" t="s">
        <v>16</v>
      </c>
      <c r="D32" s="34"/>
      <c r="E32" s="35" t="s">
        <v>17</v>
      </c>
      <c r="F32" s="34"/>
      <c r="G32" s="35" t="s">
        <v>18</v>
      </c>
      <c r="H32" s="34"/>
      <c r="I32" s="35" t="s">
        <v>22</v>
      </c>
      <c r="J32" s="34"/>
      <c r="K32" s="35" t="s">
        <v>23</v>
      </c>
      <c r="L32" s="34"/>
      <c r="M32" s="31" t="s">
        <v>24</v>
      </c>
      <c r="N32" s="32"/>
    </row>
    <row r="33" spans="2:14" x14ac:dyDescent="0.75">
      <c r="B33" s="30"/>
      <c r="C33" s="8" t="s">
        <v>9</v>
      </c>
      <c r="D33" s="7" t="s">
        <v>1</v>
      </c>
      <c r="E33" s="8" t="s">
        <v>9</v>
      </c>
      <c r="F33" s="7" t="s">
        <v>1</v>
      </c>
      <c r="G33" s="8" t="s">
        <v>9</v>
      </c>
      <c r="H33" s="7" t="s">
        <v>1</v>
      </c>
      <c r="I33" s="8" t="s">
        <v>9</v>
      </c>
      <c r="J33" s="7" t="s">
        <v>1</v>
      </c>
      <c r="K33" s="8" t="s">
        <v>9</v>
      </c>
      <c r="L33" s="7" t="s">
        <v>1</v>
      </c>
      <c r="M33" s="7" t="s">
        <v>9</v>
      </c>
      <c r="N33" s="7" t="s">
        <v>1</v>
      </c>
    </row>
    <row r="34" spans="2:14" x14ac:dyDescent="0.75">
      <c r="B34" s="6">
        <v>22</v>
      </c>
      <c r="C34" s="2"/>
      <c r="D34" s="2">
        <v>0</v>
      </c>
      <c r="E34" s="2"/>
      <c r="F34" s="2">
        <v>0</v>
      </c>
      <c r="G34" s="2"/>
      <c r="H34" s="2">
        <v>0</v>
      </c>
      <c r="I34" s="2">
        <v>24</v>
      </c>
      <c r="J34" s="2">
        <v>1</v>
      </c>
      <c r="K34" s="2"/>
      <c r="L34" s="2">
        <v>0</v>
      </c>
      <c r="M34" s="2"/>
      <c r="N34" s="2">
        <v>0</v>
      </c>
    </row>
    <row r="35" spans="2:14" x14ac:dyDescent="0.75">
      <c r="B35" s="6">
        <v>21</v>
      </c>
      <c r="C35" s="2">
        <v>223</v>
      </c>
      <c r="D35" s="2">
        <v>1</v>
      </c>
      <c r="E35" s="2">
        <v>1144</v>
      </c>
      <c r="F35" s="2">
        <v>1</v>
      </c>
      <c r="G35" s="2">
        <v>945</v>
      </c>
      <c r="H35" s="2">
        <v>1</v>
      </c>
      <c r="I35" s="2">
        <v>24</v>
      </c>
      <c r="J35" s="2">
        <v>1</v>
      </c>
      <c r="K35" s="2">
        <v>74</v>
      </c>
      <c r="L35" s="2">
        <v>1</v>
      </c>
      <c r="M35" s="2"/>
      <c r="N35" s="2">
        <v>0</v>
      </c>
    </row>
    <row r="36" spans="2:14" x14ac:dyDescent="0.75">
      <c r="B36" s="6">
        <v>20</v>
      </c>
      <c r="C36" s="2">
        <v>223</v>
      </c>
      <c r="D36" s="2">
        <v>1</v>
      </c>
      <c r="E36" s="2">
        <v>1137</v>
      </c>
      <c r="F36" s="2">
        <v>1</v>
      </c>
      <c r="G36" s="2">
        <v>945</v>
      </c>
      <c r="H36" s="2">
        <v>1</v>
      </c>
      <c r="I36" s="2">
        <v>24</v>
      </c>
      <c r="J36" s="2">
        <v>1</v>
      </c>
      <c r="K36" s="2">
        <v>74</v>
      </c>
      <c r="L36" s="2">
        <v>1</v>
      </c>
      <c r="M36" s="2"/>
      <c r="N36" s="2">
        <v>0</v>
      </c>
    </row>
    <row r="37" spans="2:14" x14ac:dyDescent="0.75">
      <c r="B37" s="6">
        <v>19</v>
      </c>
      <c r="C37" s="2">
        <v>223</v>
      </c>
      <c r="D37" s="2">
        <v>1</v>
      </c>
      <c r="E37" s="2">
        <v>1137</v>
      </c>
      <c r="F37" s="2">
        <v>1</v>
      </c>
      <c r="G37" s="2">
        <v>945</v>
      </c>
      <c r="H37" s="2">
        <v>1</v>
      </c>
      <c r="I37" s="2">
        <v>24</v>
      </c>
      <c r="J37" s="2">
        <v>1</v>
      </c>
      <c r="K37" s="2">
        <v>74</v>
      </c>
      <c r="L37" s="2">
        <v>1</v>
      </c>
      <c r="M37" s="2"/>
      <c r="N37" s="2">
        <v>0</v>
      </c>
    </row>
    <row r="38" spans="2:14" x14ac:dyDescent="0.75">
      <c r="B38" s="6">
        <v>18</v>
      </c>
      <c r="C38" s="2">
        <v>223</v>
      </c>
      <c r="D38" s="2">
        <v>1</v>
      </c>
      <c r="E38" s="2">
        <v>1144</v>
      </c>
      <c r="F38" s="2">
        <v>1</v>
      </c>
      <c r="G38" s="2">
        <v>945</v>
      </c>
      <c r="H38" s="2">
        <v>1</v>
      </c>
      <c r="I38" s="2">
        <v>24</v>
      </c>
      <c r="J38" s="2">
        <v>1</v>
      </c>
      <c r="K38" s="2">
        <v>74</v>
      </c>
      <c r="L38" s="2">
        <v>1</v>
      </c>
      <c r="M38" s="2"/>
      <c r="N38" s="2">
        <v>0</v>
      </c>
    </row>
    <row r="39" spans="2:14" x14ac:dyDescent="0.75">
      <c r="B39" s="6">
        <v>17</v>
      </c>
      <c r="C39" s="2">
        <v>223</v>
      </c>
      <c r="D39" s="2">
        <v>1</v>
      </c>
      <c r="E39" s="2">
        <v>1144</v>
      </c>
      <c r="F39" s="2">
        <v>1</v>
      </c>
      <c r="G39" s="2">
        <v>945</v>
      </c>
      <c r="H39" s="2">
        <v>1</v>
      </c>
      <c r="I39" s="2">
        <v>24</v>
      </c>
      <c r="J39" s="2">
        <v>1</v>
      </c>
      <c r="K39" s="2">
        <v>74</v>
      </c>
      <c r="L39" s="2">
        <v>1</v>
      </c>
      <c r="M39" s="2"/>
      <c r="N39" s="2">
        <v>0</v>
      </c>
    </row>
    <row r="40" spans="2:14" x14ac:dyDescent="0.75">
      <c r="B40" s="6">
        <v>16</v>
      </c>
      <c r="C40" s="2">
        <v>223</v>
      </c>
      <c r="D40" s="2">
        <v>1</v>
      </c>
      <c r="E40" s="2">
        <v>1144</v>
      </c>
      <c r="F40" s="2">
        <v>1</v>
      </c>
      <c r="G40" s="2">
        <v>945</v>
      </c>
      <c r="H40" s="2">
        <v>1</v>
      </c>
      <c r="I40" s="2">
        <v>24</v>
      </c>
      <c r="J40" s="2">
        <v>1</v>
      </c>
      <c r="K40" s="2">
        <v>74</v>
      </c>
      <c r="L40" s="2">
        <v>1</v>
      </c>
      <c r="M40" s="2"/>
      <c r="N40" s="2">
        <v>0</v>
      </c>
    </row>
    <row r="41" spans="2:14" x14ac:dyDescent="0.75">
      <c r="B41" s="6">
        <v>15</v>
      </c>
      <c r="C41" s="2">
        <v>223</v>
      </c>
      <c r="D41" s="2">
        <v>1</v>
      </c>
      <c r="E41" s="2">
        <v>1144</v>
      </c>
      <c r="F41" s="2">
        <v>1</v>
      </c>
      <c r="G41" s="2">
        <v>945</v>
      </c>
      <c r="H41" s="2">
        <v>1</v>
      </c>
      <c r="I41" s="2">
        <v>24</v>
      </c>
      <c r="J41" s="2">
        <v>1</v>
      </c>
      <c r="K41" s="2">
        <v>74</v>
      </c>
      <c r="L41" s="2">
        <v>1</v>
      </c>
      <c r="M41" s="2"/>
      <c r="N41" s="2">
        <v>0</v>
      </c>
    </row>
    <row r="42" spans="2:14" x14ac:dyDescent="0.75">
      <c r="B42" s="6">
        <v>14</v>
      </c>
      <c r="C42" s="2">
        <v>223</v>
      </c>
      <c r="D42" s="2">
        <v>1</v>
      </c>
      <c r="E42" s="2">
        <v>1144</v>
      </c>
      <c r="F42" s="2">
        <v>1</v>
      </c>
      <c r="G42" s="2">
        <v>945</v>
      </c>
      <c r="H42" s="2">
        <v>1</v>
      </c>
      <c r="I42" s="2">
        <v>24</v>
      </c>
      <c r="J42" s="2">
        <v>1</v>
      </c>
      <c r="K42" s="2">
        <v>74</v>
      </c>
      <c r="L42" s="2">
        <v>1</v>
      </c>
      <c r="M42" s="2"/>
      <c r="N42" s="2">
        <v>0</v>
      </c>
    </row>
    <row r="43" spans="2:14" x14ac:dyDescent="0.75">
      <c r="B43" s="6">
        <v>13</v>
      </c>
      <c r="C43" s="2">
        <v>223</v>
      </c>
      <c r="D43" s="2">
        <v>1</v>
      </c>
      <c r="E43" s="2">
        <v>1144</v>
      </c>
      <c r="F43" s="2">
        <v>1</v>
      </c>
      <c r="G43" s="2">
        <v>945</v>
      </c>
      <c r="H43" s="2">
        <v>1</v>
      </c>
      <c r="I43" s="2">
        <v>24</v>
      </c>
      <c r="J43" s="2">
        <v>1</v>
      </c>
      <c r="K43" s="2">
        <v>74</v>
      </c>
      <c r="L43" s="2">
        <v>1</v>
      </c>
      <c r="M43" s="2"/>
      <c r="N43" s="2">
        <v>0</v>
      </c>
    </row>
    <row r="44" spans="2:14" x14ac:dyDescent="0.75">
      <c r="B44" s="6">
        <v>12</v>
      </c>
      <c r="C44" s="2">
        <v>223</v>
      </c>
      <c r="D44" s="2">
        <v>1</v>
      </c>
      <c r="E44" s="2">
        <v>1144</v>
      </c>
      <c r="F44" s="2">
        <v>1</v>
      </c>
      <c r="G44" s="2">
        <v>945</v>
      </c>
      <c r="H44" s="2">
        <v>1</v>
      </c>
      <c r="I44" s="2">
        <v>24</v>
      </c>
      <c r="J44" s="2">
        <v>1</v>
      </c>
      <c r="K44" s="2">
        <v>74</v>
      </c>
      <c r="L44" s="2">
        <v>1</v>
      </c>
      <c r="M44" s="2"/>
      <c r="N44" s="2">
        <v>0</v>
      </c>
    </row>
    <row r="45" spans="2:14" x14ac:dyDescent="0.75">
      <c r="B45" s="6">
        <v>11</v>
      </c>
      <c r="C45" s="2">
        <v>223</v>
      </c>
      <c r="D45" s="2">
        <v>1</v>
      </c>
      <c r="E45" s="2">
        <v>1144</v>
      </c>
      <c r="F45" s="2">
        <v>1</v>
      </c>
      <c r="G45" s="2"/>
      <c r="H45" s="2">
        <v>0</v>
      </c>
      <c r="I45" s="2">
        <v>24</v>
      </c>
      <c r="J45" s="2">
        <v>1</v>
      </c>
      <c r="K45" s="2">
        <v>74</v>
      </c>
      <c r="L45" s="2">
        <v>1</v>
      </c>
      <c r="M45" s="2"/>
      <c r="N45" s="2">
        <v>0</v>
      </c>
    </row>
    <row r="46" spans="2:14" x14ac:dyDescent="0.75">
      <c r="B46" s="6">
        <v>10</v>
      </c>
      <c r="C46" s="2">
        <v>223</v>
      </c>
      <c r="D46" s="2">
        <v>1</v>
      </c>
      <c r="E46" s="2">
        <v>1144</v>
      </c>
      <c r="F46" s="2">
        <v>1</v>
      </c>
      <c r="G46" s="2"/>
      <c r="H46" s="2">
        <v>0</v>
      </c>
      <c r="I46" s="2">
        <v>24</v>
      </c>
      <c r="J46" s="2">
        <v>1</v>
      </c>
      <c r="K46" s="2">
        <v>74</v>
      </c>
      <c r="L46" s="2">
        <v>1</v>
      </c>
      <c r="M46" s="2"/>
      <c r="N46" s="2">
        <v>0</v>
      </c>
    </row>
    <row r="47" spans="2:14" x14ac:dyDescent="0.75">
      <c r="B47" s="6">
        <v>9</v>
      </c>
      <c r="C47" s="2">
        <v>223</v>
      </c>
      <c r="D47" s="2">
        <v>1</v>
      </c>
      <c r="E47" s="2">
        <v>1144</v>
      </c>
      <c r="F47" s="2">
        <v>1</v>
      </c>
      <c r="G47" s="2"/>
      <c r="H47" s="2">
        <v>0</v>
      </c>
      <c r="I47" s="2">
        <v>24</v>
      </c>
      <c r="J47" s="2">
        <v>1</v>
      </c>
      <c r="K47" s="2">
        <v>74</v>
      </c>
      <c r="L47" s="2">
        <v>1</v>
      </c>
      <c r="M47" s="2"/>
      <c r="N47" s="2">
        <v>0</v>
      </c>
    </row>
    <row r="48" spans="2:14" x14ac:dyDescent="0.75">
      <c r="B48" s="6">
        <v>8</v>
      </c>
      <c r="C48" s="2">
        <v>223</v>
      </c>
      <c r="D48" s="2">
        <v>1</v>
      </c>
      <c r="E48" s="2">
        <v>1144</v>
      </c>
      <c r="F48" s="2">
        <v>1</v>
      </c>
      <c r="G48" s="2"/>
      <c r="H48" s="2">
        <v>0</v>
      </c>
      <c r="I48" s="2">
        <v>24</v>
      </c>
      <c r="J48" s="2">
        <v>1</v>
      </c>
      <c r="K48" s="2">
        <v>74</v>
      </c>
      <c r="L48" s="2">
        <v>1</v>
      </c>
      <c r="M48" s="2"/>
      <c r="N48" s="2">
        <v>0</v>
      </c>
    </row>
    <row r="49" spans="2:14" x14ac:dyDescent="0.75">
      <c r="B49" s="6">
        <v>7</v>
      </c>
      <c r="C49" s="2">
        <v>223</v>
      </c>
      <c r="D49" s="2">
        <v>1</v>
      </c>
      <c r="E49" s="2">
        <v>1144</v>
      </c>
      <c r="F49" s="2">
        <v>1</v>
      </c>
      <c r="G49" s="2"/>
      <c r="H49" s="2">
        <v>0</v>
      </c>
      <c r="I49" s="2">
        <v>24</v>
      </c>
      <c r="J49" s="2">
        <v>1</v>
      </c>
      <c r="K49" s="2">
        <v>74</v>
      </c>
      <c r="L49" s="2">
        <v>1</v>
      </c>
      <c r="M49" s="2"/>
      <c r="N49" s="2">
        <v>0</v>
      </c>
    </row>
    <row r="50" spans="2:14" x14ac:dyDescent="0.75">
      <c r="B50" s="6">
        <v>6</v>
      </c>
      <c r="C50" s="2">
        <v>223</v>
      </c>
      <c r="D50" s="2">
        <v>1</v>
      </c>
      <c r="E50" s="2">
        <v>1144</v>
      </c>
      <c r="F50" s="2">
        <v>1</v>
      </c>
      <c r="G50" s="2"/>
      <c r="H50" s="2">
        <v>0</v>
      </c>
      <c r="I50" s="2">
        <v>24</v>
      </c>
      <c r="J50" s="2">
        <v>1</v>
      </c>
      <c r="K50" s="2">
        <v>74</v>
      </c>
      <c r="L50" s="2">
        <v>1</v>
      </c>
      <c r="M50" s="2"/>
      <c r="N50" s="2">
        <v>0</v>
      </c>
    </row>
    <row r="51" spans="2:14" x14ac:dyDescent="0.75">
      <c r="B51" s="6">
        <v>5</v>
      </c>
      <c r="C51" s="2">
        <v>223</v>
      </c>
      <c r="D51" s="2">
        <v>1</v>
      </c>
      <c r="E51" s="2">
        <v>1144</v>
      </c>
      <c r="F51" s="2">
        <v>1</v>
      </c>
      <c r="G51" s="2"/>
      <c r="H51" s="2">
        <v>0</v>
      </c>
      <c r="I51" s="2">
        <v>24</v>
      </c>
      <c r="J51" s="2">
        <v>1</v>
      </c>
      <c r="K51" s="2">
        <v>74</v>
      </c>
      <c r="L51" s="2">
        <v>1</v>
      </c>
      <c r="M51" s="2"/>
      <c r="N51" s="2">
        <v>0</v>
      </c>
    </row>
    <row r="52" spans="2:14" x14ac:dyDescent="0.75">
      <c r="B52" s="6">
        <v>4</v>
      </c>
      <c r="C52" s="2">
        <v>223</v>
      </c>
      <c r="D52" s="2">
        <v>1</v>
      </c>
      <c r="E52" s="2">
        <v>1144</v>
      </c>
      <c r="F52" s="2">
        <v>1</v>
      </c>
      <c r="G52" s="2"/>
      <c r="H52" s="2">
        <v>0</v>
      </c>
      <c r="I52" s="2">
        <v>24</v>
      </c>
      <c r="J52" s="2">
        <v>1</v>
      </c>
      <c r="K52" s="2">
        <v>74</v>
      </c>
      <c r="L52" s="2">
        <v>1</v>
      </c>
      <c r="M52" s="2"/>
      <c r="N52" s="2">
        <v>0</v>
      </c>
    </row>
    <row r="53" spans="2:14" x14ac:dyDescent="0.75">
      <c r="B53" s="6">
        <v>3</v>
      </c>
      <c r="C53" s="2">
        <v>223</v>
      </c>
      <c r="D53" s="2">
        <v>1</v>
      </c>
      <c r="E53" s="2">
        <v>1144</v>
      </c>
      <c r="F53" s="2">
        <v>1</v>
      </c>
      <c r="G53" s="2"/>
      <c r="H53" s="2">
        <v>0</v>
      </c>
      <c r="I53" s="2">
        <v>24</v>
      </c>
      <c r="J53" s="2">
        <v>1</v>
      </c>
      <c r="K53" s="2">
        <v>74</v>
      </c>
      <c r="L53" s="2">
        <v>1</v>
      </c>
      <c r="M53" s="2"/>
      <c r="N53" s="2">
        <v>0</v>
      </c>
    </row>
    <row r="54" spans="2:14" x14ac:dyDescent="0.75">
      <c r="B54" s="6">
        <v>2</v>
      </c>
      <c r="C54" s="2">
        <v>223</v>
      </c>
      <c r="D54" s="2">
        <v>1</v>
      </c>
      <c r="E54" s="2">
        <v>1144</v>
      </c>
      <c r="F54" s="2">
        <v>1</v>
      </c>
      <c r="G54" s="2"/>
      <c r="H54" s="2">
        <v>0</v>
      </c>
      <c r="I54" s="2">
        <v>24</v>
      </c>
      <c r="J54" s="2">
        <v>1</v>
      </c>
      <c r="K54" s="2">
        <v>74</v>
      </c>
      <c r="L54" s="2">
        <v>1</v>
      </c>
      <c r="M54" s="2"/>
      <c r="N54" s="2">
        <v>0</v>
      </c>
    </row>
    <row r="55" spans="2:14" x14ac:dyDescent="0.75">
      <c r="B55" s="6" t="s">
        <v>13</v>
      </c>
      <c r="C55" s="2"/>
      <c r="D55" s="2">
        <v>0</v>
      </c>
      <c r="E55" s="2"/>
      <c r="F55" s="2">
        <v>0</v>
      </c>
      <c r="G55" s="2"/>
      <c r="H55" s="2">
        <v>0</v>
      </c>
      <c r="I55" s="2"/>
      <c r="J55" s="2">
        <v>0</v>
      </c>
      <c r="K55" s="2"/>
      <c r="L55" s="2">
        <v>0</v>
      </c>
      <c r="M55" s="2"/>
      <c r="N55" s="2">
        <v>0</v>
      </c>
    </row>
    <row r="56" spans="2:14" x14ac:dyDescent="0.75">
      <c r="B56" s="6" t="s">
        <v>14</v>
      </c>
      <c r="C56" s="2"/>
      <c r="D56" s="2">
        <v>0</v>
      </c>
      <c r="E56" s="2"/>
      <c r="F56" s="2">
        <v>0</v>
      </c>
      <c r="G56" s="2"/>
      <c r="H56" s="2">
        <v>0</v>
      </c>
      <c r="I56" s="2"/>
      <c r="J56" s="2">
        <v>0</v>
      </c>
      <c r="K56" s="2"/>
      <c r="L56" s="2">
        <v>0</v>
      </c>
      <c r="M56" s="2"/>
      <c r="N56" s="2">
        <v>0</v>
      </c>
    </row>
    <row r="59" spans="2:14" x14ac:dyDescent="0.75">
      <c r="B59" s="25" t="s">
        <v>4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spans="2:14" x14ac:dyDescent="0.75">
      <c r="B60" s="27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 x14ac:dyDescent="0.75">
      <c r="B61" s="36" t="s">
        <v>0</v>
      </c>
      <c r="C61" s="33" t="s">
        <v>16</v>
      </c>
      <c r="D61" s="34"/>
      <c r="E61" s="35" t="s">
        <v>17</v>
      </c>
      <c r="F61" s="34"/>
      <c r="G61" s="35" t="s">
        <v>18</v>
      </c>
      <c r="H61" s="34"/>
      <c r="I61" s="35" t="s">
        <v>22</v>
      </c>
      <c r="J61" s="34"/>
      <c r="K61" s="35" t="s">
        <v>23</v>
      </c>
      <c r="L61" s="34"/>
      <c r="M61" s="31" t="s">
        <v>24</v>
      </c>
      <c r="N61" s="32"/>
    </row>
    <row r="62" spans="2:14" x14ac:dyDescent="0.75">
      <c r="B62" s="37"/>
      <c r="C62" s="8" t="s">
        <v>9</v>
      </c>
      <c r="D62" s="7" t="s">
        <v>1</v>
      </c>
      <c r="E62" s="8" t="s">
        <v>9</v>
      </c>
      <c r="F62" s="7" t="s">
        <v>1</v>
      </c>
      <c r="G62" s="8" t="s">
        <v>9</v>
      </c>
      <c r="H62" s="7" t="s">
        <v>1</v>
      </c>
      <c r="I62" s="8" t="s">
        <v>9</v>
      </c>
      <c r="J62" s="7" t="s">
        <v>1</v>
      </c>
      <c r="K62" s="8" t="s">
        <v>9</v>
      </c>
      <c r="L62" s="7" t="s">
        <v>1</v>
      </c>
      <c r="M62" s="7" t="s">
        <v>9</v>
      </c>
      <c r="N62" s="7" t="s">
        <v>1</v>
      </c>
    </row>
    <row r="63" spans="2:14" x14ac:dyDescent="0.75">
      <c r="B63" s="6">
        <v>22</v>
      </c>
      <c r="C63" s="2"/>
      <c r="D63" s="2">
        <v>0</v>
      </c>
      <c r="E63" s="2"/>
      <c r="F63" s="2">
        <v>0</v>
      </c>
      <c r="G63" s="2"/>
      <c r="H63" s="2">
        <v>0</v>
      </c>
      <c r="I63" s="2"/>
      <c r="J63" s="2">
        <v>0</v>
      </c>
      <c r="K63" s="2"/>
      <c r="L63" s="2">
        <v>0</v>
      </c>
      <c r="M63" s="2"/>
      <c r="N63" s="2">
        <v>0</v>
      </c>
    </row>
    <row r="64" spans="2:14" x14ac:dyDescent="0.75">
      <c r="B64" s="6">
        <v>21</v>
      </c>
      <c r="C64" s="2" t="s">
        <v>92</v>
      </c>
      <c r="D64" s="2">
        <v>1</v>
      </c>
      <c r="E64" s="2">
        <v>1245</v>
      </c>
      <c r="F64" s="2">
        <v>1</v>
      </c>
      <c r="G64" s="2">
        <v>945</v>
      </c>
      <c r="H64" s="2">
        <v>1</v>
      </c>
      <c r="I64" s="2" t="s">
        <v>93</v>
      </c>
      <c r="J64" s="2">
        <v>1</v>
      </c>
      <c r="K64" s="2"/>
      <c r="L64" s="2">
        <v>0</v>
      </c>
      <c r="M64" s="2"/>
      <c r="N64" s="2">
        <v>0</v>
      </c>
    </row>
    <row r="65" spans="2:14" x14ac:dyDescent="0.75">
      <c r="B65" s="6">
        <v>20</v>
      </c>
      <c r="C65" s="2" t="s">
        <v>92</v>
      </c>
      <c r="D65" s="2">
        <v>1</v>
      </c>
      <c r="E65" s="2">
        <v>1245</v>
      </c>
      <c r="F65" s="2">
        <v>1</v>
      </c>
      <c r="G65" s="2">
        <v>945</v>
      </c>
      <c r="H65" s="2">
        <v>1</v>
      </c>
      <c r="I65" s="2" t="s">
        <v>93</v>
      </c>
      <c r="J65" s="2">
        <v>1</v>
      </c>
      <c r="K65" s="2"/>
      <c r="L65" s="2">
        <v>0</v>
      </c>
      <c r="M65" s="2"/>
      <c r="N65" s="2">
        <v>0</v>
      </c>
    </row>
    <row r="66" spans="2:14" x14ac:dyDescent="0.75">
      <c r="B66" s="6">
        <v>19</v>
      </c>
      <c r="C66" s="2">
        <v>223</v>
      </c>
      <c r="D66" s="2">
        <v>1</v>
      </c>
      <c r="E66" s="2">
        <v>1245</v>
      </c>
      <c r="F66" s="2">
        <v>1</v>
      </c>
      <c r="G66" s="2">
        <v>945</v>
      </c>
      <c r="H66" s="2">
        <v>1</v>
      </c>
      <c r="I66" s="2"/>
      <c r="J66" s="2">
        <v>0</v>
      </c>
      <c r="K66" s="2"/>
      <c r="L66" s="2">
        <v>0</v>
      </c>
      <c r="M66" s="2"/>
      <c r="N66" s="2">
        <v>0</v>
      </c>
    </row>
    <row r="67" spans="2:14" x14ac:dyDescent="0.75">
      <c r="B67" s="6">
        <v>18</v>
      </c>
      <c r="C67" s="2" t="s">
        <v>92</v>
      </c>
      <c r="D67" s="2">
        <v>1</v>
      </c>
      <c r="E67" s="2">
        <v>1245</v>
      </c>
      <c r="F67" s="2">
        <v>1</v>
      </c>
      <c r="G67" s="2">
        <v>945</v>
      </c>
      <c r="H67" s="2">
        <v>1</v>
      </c>
      <c r="I67" s="2" t="s">
        <v>93</v>
      </c>
      <c r="J67" s="2">
        <v>1</v>
      </c>
      <c r="K67" s="2"/>
      <c r="L67" s="2">
        <v>0</v>
      </c>
      <c r="M67" s="2"/>
      <c r="N67" s="2">
        <v>0</v>
      </c>
    </row>
    <row r="68" spans="2:14" x14ac:dyDescent="0.75">
      <c r="B68" s="6">
        <v>17</v>
      </c>
      <c r="C68" s="2" t="s">
        <v>92</v>
      </c>
      <c r="D68" s="2">
        <v>1</v>
      </c>
      <c r="E68" s="2">
        <v>1245</v>
      </c>
      <c r="F68" s="2">
        <v>1</v>
      </c>
      <c r="G68" s="2">
        <v>945</v>
      </c>
      <c r="H68" s="2">
        <v>1</v>
      </c>
      <c r="I68" s="2" t="s">
        <v>93</v>
      </c>
      <c r="J68" s="2">
        <v>1</v>
      </c>
      <c r="K68" s="2"/>
      <c r="L68" s="2">
        <v>0</v>
      </c>
      <c r="M68" s="2"/>
      <c r="N68" s="2">
        <v>0</v>
      </c>
    </row>
    <row r="69" spans="2:14" x14ac:dyDescent="0.75">
      <c r="B69" s="6">
        <v>16</v>
      </c>
      <c r="C69" s="2" t="s">
        <v>92</v>
      </c>
      <c r="D69" s="2">
        <v>1</v>
      </c>
      <c r="E69" s="2">
        <v>1245</v>
      </c>
      <c r="F69" s="2">
        <v>1</v>
      </c>
      <c r="G69" s="2">
        <v>945</v>
      </c>
      <c r="H69" s="2">
        <v>1</v>
      </c>
      <c r="I69" s="2" t="s">
        <v>93</v>
      </c>
      <c r="J69" s="2">
        <v>1</v>
      </c>
      <c r="K69" s="2"/>
      <c r="L69" s="2">
        <v>0</v>
      </c>
      <c r="M69" s="2"/>
      <c r="N69" s="2">
        <v>0</v>
      </c>
    </row>
    <row r="70" spans="2:14" x14ac:dyDescent="0.75">
      <c r="B70" s="6">
        <v>15</v>
      </c>
      <c r="C70" s="2">
        <v>223.7</v>
      </c>
      <c r="D70" s="2">
        <v>1</v>
      </c>
      <c r="E70" s="2"/>
      <c r="F70" s="2">
        <v>0</v>
      </c>
      <c r="G70" s="2">
        <v>945</v>
      </c>
      <c r="H70" s="2">
        <v>1</v>
      </c>
      <c r="I70" s="2"/>
      <c r="J70" s="2">
        <v>0</v>
      </c>
      <c r="K70" s="2"/>
      <c r="L70" s="2">
        <v>0</v>
      </c>
      <c r="M70" s="2"/>
      <c r="N70" s="2">
        <v>0</v>
      </c>
    </row>
    <row r="71" spans="2:14" x14ac:dyDescent="0.75">
      <c r="B71" s="6">
        <v>14</v>
      </c>
      <c r="C71" s="2">
        <v>223.7</v>
      </c>
      <c r="D71" s="2">
        <v>1</v>
      </c>
      <c r="E71" s="2"/>
      <c r="F71" s="2">
        <v>0</v>
      </c>
      <c r="G71" s="2">
        <v>945</v>
      </c>
      <c r="H71" s="2">
        <v>1</v>
      </c>
      <c r="I71" s="2"/>
      <c r="J71" s="2">
        <v>0</v>
      </c>
      <c r="K71" s="2"/>
      <c r="L71" s="2">
        <v>0</v>
      </c>
      <c r="M71" s="2"/>
      <c r="N71" s="2">
        <v>0</v>
      </c>
    </row>
    <row r="72" spans="2:14" x14ac:dyDescent="0.75">
      <c r="B72" s="6">
        <v>13</v>
      </c>
      <c r="C72" s="2">
        <v>223.7</v>
      </c>
      <c r="D72" s="2">
        <v>1</v>
      </c>
      <c r="E72" s="2"/>
      <c r="F72" s="2">
        <v>0</v>
      </c>
      <c r="G72" s="2">
        <v>945</v>
      </c>
      <c r="H72" s="2">
        <v>1</v>
      </c>
      <c r="I72" s="2"/>
      <c r="J72" s="2">
        <v>0</v>
      </c>
      <c r="K72" s="2"/>
      <c r="L72" s="2">
        <v>0</v>
      </c>
      <c r="M72" s="2"/>
      <c r="N72" s="2">
        <v>0</v>
      </c>
    </row>
    <row r="73" spans="2:14" x14ac:dyDescent="0.75">
      <c r="B73" s="6">
        <v>12</v>
      </c>
      <c r="C73" s="2">
        <v>223.7</v>
      </c>
      <c r="D73" s="2">
        <v>1</v>
      </c>
      <c r="E73" s="2">
        <v>1245</v>
      </c>
      <c r="F73" s="2">
        <v>1</v>
      </c>
      <c r="G73" s="2">
        <v>945</v>
      </c>
      <c r="H73" s="2">
        <v>1</v>
      </c>
      <c r="I73" s="2"/>
      <c r="J73" s="2">
        <v>0</v>
      </c>
      <c r="K73" s="2"/>
      <c r="L73" s="2">
        <v>0</v>
      </c>
      <c r="M73" s="2"/>
      <c r="N73" s="2">
        <v>0</v>
      </c>
    </row>
    <row r="74" spans="2:14" x14ac:dyDescent="0.75">
      <c r="B74" s="6">
        <v>11</v>
      </c>
      <c r="C74" s="2">
        <v>223.7</v>
      </c>
      <c r="D74" s="2">
        <v>1</v>
      </c>
      <c r="E74" s="2"/>
      <c r="F74" s="2">
        <v>0</v>
      </c>
      <c r="G74" s="2">
        <v>945</v>
      </c>
      <c r="H74" s="2">
        <v>1</v>
      </c>
      <c r="I74" s="2"/>
      <c r="J74" s="2">
        <v>0</v>
      </c>
      <c r="K74" s="2"/>
      <c r="L74" s="2">
        <v>0</v>
      </c>
      <c r="M74" s="2"/>
      <c r="N74" s="2">
        <v>0</v>
      </c>
    </row>
    <row r="75" spans="2:14" x14ac:dyDescent="0.75">
      <c r="B75" s="6">
        <v>10</v>
      </c>
      <c r="C75" s="2">
        <v>223.7</v>
      </c>
      <c r="D75" s="2">
        <v>1</v>
      </c>
      <c r="E75" s="2"/>
      <c r="F75" s="2">
        <v>0</v>
      </c>
      <c r="G75" s="2">
        <v>945</v>
      </c>
      <c r="H75" s="2">
        <v>1</v>
      </c>
      <c r="I75" s="2"/>
      <c r="J75" s="2">
        <v>0</v>
      </c>
      <c r="K75" s="2"/>
      <c r="L75" s="2">
        <v>0</v>
      </c>
      <c r="M75" s="2"/>
      <c r="N75" s="2">
        <v>0</v>
      </c>
    </row>
    <row r="76" spans="2:14" x14ac:dyDescent="0.75">
      <c r="B76" s="6">
        <v>9</v>
      </c>
      <c r="C76" s="2">
        <v>223.7</v>
      </c>
      <c r="D76" s="2">
        <v>1</v>
      </c>
      <c r="E76" s="2">
        <v>1245</v>
      </c>
      <c r="F76" s="2">
        <v>1</v>
      </c>
      <c r="G76" s="2">
        <v>945</v>
      </c>
      <c r="H76" s="2">
        <v>1</v>
      </c>
      <c r="I76" s="2"/>
      <c r="J76" s="2">
        <v>0</v>
      </c>
      <c r="K76" s="2"/>
      <c r="L76" s="2">
        <v>0</v>
      </c>
      <c r="M76" s="2"/>
      <c r="N76" s="2">
        <v>0</v>
      </c>
    </row>
    <row r="77" spans="2:14" x14ac:dyDescent="0.75">
      <c r="B77" s="6">
        <v>8</v>
      </c>
      <c r="C77" s="2">
        <v>223.7</v>
      </c>
      <c r="D77" s="2">
        <v>1</v>
      </c>
      <c r="E77" s="2">
        <v>1245</v>
      </c>
      <c r="F77" s="2">
        <v>1</v>
      </c>
      <c r="G77" s="2">
        <v>945</v>
      </c>
      <c r="H77" s="2">
        <v>1</v>
      </c>
      <c r="I77" s="2"/>
      <c r="J77" s="2">
        <v>0</v>
      </c>
      <c r="K77" s="2"/>
      <c r="L77" s="2">
        <v>0</v>
      </c>
      <c r="M77" s="2"/>
      <c r="N77" s="2">
        <v>0</v>
      </c>
    </row>
    <row r="78" spans="2:14" x14ac:dyDescent="0.75">
      <c r="B78" s="6">
        <v>7</v>
      </c>
      <c r="C78" s="2">
        <v>245</v>
      </c>
      <c r="D78" s="2">
        <v>1</v>
      </c>
      <c r="E78" s="2">
        <v>1245</v>
      </c>
      <c r="F78" s="2">
        <v>1</v>
      </c>
      <c r="G78" s="2">
        <v>945</v>
      </c>
      <c r="H78" s="2">
        <v>1</v>
      </c>
      <c r="I78" s="2"/>
      <c r="J78" s="2">
        <v>0</v>
      </c>
      <c r="K78" s="2"/>
      <c r="L78" s="2">
        <v>0</v>
      </c>
      <c r="M78" s="2"/>
      <c r="N78" s="2">
        <v>0</v>
      </c>
    </row>
    <row r="79" spans="2:14" x14ac:dyDescent="0.75">
      <c r="B79" s="6">
        <v>6</v>
      </c>
      <c r="C79" s="2">
        <v>245</v>
      </c>
      <c r="D79" s="2">
        <v>1</v>
      </c>
      <c r="E79" s="2">
        <v>1245</v>
      </c>
      <c r="F79" s="2">
        <v>1</v>
      </c>
      <c r="G79" s="2">
        <v>945</v>
      </c>
      <c r="H79" s="2">
        <v>1</v>
      </c>
      <c r="I79" s="2"/>
      <c r="J79" s="2">
        <v>0</v>
      </c>
      <c r="K79" s="2"/>
      <c r="L79" s="2">
        <v>0</v>
      </c>
      <c r="M79" s="2"/>
      <c r="N79" s="2">
        <v>0</v>
      </c>
    </row>
    <row r="80" spans="2:14" x14ac:dyDescent="0.75">
      <c r="B80" s="6">
        <v>5</v>
      </c>
      <c r="C80" s="2">
        <v>223.7</v>
      </c>
      <c r="D80" s="2">
        <v>1</v>
      </c>
      <c r="E80" s="2">
        <v>1245</v>
      </c>
      <c r="F80" s="2">
        <v>1</v>
      </c>
      <c r="G80" s="2">
        <v>945</v>
      </c>
      <c r="H80" s="2">
        <v>1</v>
      </c>
      <c r="I80" s="2"/>
      <c r="J80" s="2">
        <v>0</v>
      </c>
      <c r="K80" s="2"/>
      <c r="L80" s="2">
        <v>0</v>
      </c>
      <c r="M80" s="2"/>
      <c r="N80" s="2">
        <v>0</v>
      </c>
    </row>
    <row r="81" spans="2:14" x14ac:dyDescent="0.75">
      <c r="B81" s="6">
        <v>4</v>
      </c>
      <c r="C81" s="2">
        <v>223.7</v>
      </c>
      <c r="D81" s="2">
        <v>1</v>
      </c>
      <c r="E81" s="2">
        <v>1245</v>
      </c>
      <c r="F81" s="2">
        <v>1</v>
      </c>
      <c r="G81" s="2">
        <v>945</v>
      </c>
      <c r="H81" s="2">
        <v>1</v>
      </c>
      <c r="I81" s="2"/>
      <c r="J81" s="2">
        <v>0</v>
      </c>
      <c r="K81" s="2"/>
      <c r="L81" s="2">
        <v>0</v>
      </c>
      <c r="M81" s="2"/>
      <c r="N81" s="2">
        <v>0</v>
      </c>
    </row>
    <row r="82" spans="2:14" x14ac:dyDescent="0.75">
      <c r="B82" s="6">
        <v>3</v>
      </c>
      <c r="C82" s="2">
        <v>245</v>
      </c>
      <c r="D82" s="2">
        <v>1</v>
      </c>
      <c r="E82" s="2">
        <v>1245</v>
      </c>
      <c r="F82" s="2">
        <v>1</v>
      </c>
      <c r="G82" s="2"/>
      <c r="H82" s="2">
        <v>0</v>
      </c>
      <c r="I82" s="2"/>
      <c r="J82" s="2">
        <v>0</v>
      </c>
      <c r="K82" s="2"/>
      <c r="L82" s="2">
        <v>0</v>
      </c>
      <c r="M82" s="2"/>
      <c r="N82" s="2">
        <v>0</v>
      </c>
    </row>
    <row r="83" spans="2:14" x14ac:dyDescent="0.75">
      <c r="B83" s="6">
        <v>2</v>
      </c>
      <c r="C83" s="2">
        <v>245</v>
      </c>
      <c r="D83" s="2">
        <v>1</v>
      </c>
      <c r="E83" s="2">
        <v>1245</v>
      </c>
      <c r="F83" s="2">
        <v>1</v>
      </c>
      <c r="G83" s="2"/>
      <c r="H83" s="2">
        <v>0</v>
      </c>
      <c r="I83" s="2"/>
      <c r="J83" s="2">
        <v>0</v>
      </c>
      <c r="K83" s="2"/>
      <c r="L83" s="2">
        <v>0</v>
      </c>
      <c r="M83" s="2"/>
      <c r="N83" s="2">
        <v>0</v>
      </c>
    </row>
    <row r="84" spans="2:14" x14ac:dyDescent="0.75">
      <c r="B84" s="6" t="s">
        <v>13</v>
      </c>
      <c r="C84" s="2"/>
      <c r="D84" s="2">
        <v>0</v>
      </c>
      <c r="E84" s="2"/>
      <c r="F84" s="2">
        <v>0</v>
      </c>
      <c r="G84" s="2"/>
      <c r="H84" s="2">
        <v>0</v>
      </c>
      <c r="I84" s="2"/>
      <c r="J84" s="2">
        <v>0</v>
      </c>
      <c r="K84" s="2"/>
      <c r="L84" s="2">
        <v>0</v>
      </c>
      <c r="M84" s="2"/>
      <c r="N84" s="2">
        <v>0</v>
      </c>
    </row>
    <row r="85" spans="2:14" x14ac:dyDescent="0.75">
      <c r="B85" s="6" t="s">
        <v>14</v>
      </c>
      <c r="C85" s="2"/>
      <c r="D85" s="2">
        <v>0</v>
      </c>
      <c r="E85" s="2" t="s">
        <v>95</v>
      </c>
      <c r="F85" s="2">
        <v>1</v>
      </c>
      <c r="G85" s="2" t="s">
        <v>96</v>
      </c>
      <c r="H85" s="2">
        <v>0</v>
      </c>
      <c r="I85" s="2"/>
      <c r="J85" s="2">
        <v>0</v>
      </c>
      <c r="K85" s="2"/>
      <c r="L85" s="2">
        <v>0</v>
      </c>
      <c r="M85" s="2"/>
      <c r="N85" s="2">
        <v>0</v>
      </c>
    </row>
    <row r="88" spans="2:14" x14ac:dyDescent="0.75">
      <c r="B88" s="25" t="s">
        <v>5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</row>
    <row r="89" spans="2:14" x14ac:dyDescent="0.75">
      <c r="B89" s="27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</row>
    <row r="90" spans="2:14" x14ac:dyDescent="0.75">
      <c r="B90" s="36" t="s">
        <v>0</v>
      </c>
      <c r="C90" s="33" t="s">
        <v>16</v>
      </c>
      <c r="D90" s="34"/>
      <c r="E90" s="35" t="s">
        <v>17</v>
      </c>
      <c r="F90" s="34"/>
      <c r="G90" s="35" t="s">
        <v>18</v>
      </c>
      <c r="H90" s="34"/>
      <c r="I90" s="35" t="s">
        <v>22</v>
      </c>
      <c r="J90" s="34"/>
      <c r="K90" s="35" t="s">
        <v>23</v>
      </c>
      <c r="L90" s="34"/>
      <c r="M90" s="31" t="s">
        <v>24</v>
      </c>
      <c r="N90" s="32"/>
    </row>
    <row r="91" spans="2:14" x14ac:dyDescent="0.75">
      <c r="B91" s="37"/>
      <c r="C91" s="8" t="s">
        <v>9</v>
      </c>
      <c r="D91" s="7" t="s">
        <v>1</v>
      </c>
      <c r="E91" s="8" t="s">
        <v>9</v>
      </c>
      <c r="F91" s="7" t="s">
        <v>1</v>
      </c>
      <c r="G91" s="8" t="s">
        <v>9</v>
      </c>
      <c r="H91" s="7" t="s">
        <v>1</v>
      </c>
      <c r="I91" s="8" t="s">
        <v>9</v>
      </c>
      <c r="J91" s="7" t="s">
        <v>1</v>
      </c>
      <c r="K91" s="8" t="s">
        <v>9</v>
      </c>
      <c r="L91" s="7" t="s">
        <v>1</v>
      </c>
      <c r="M91" s="7" t="s">
        <v>9</v>
      </c>
      <c r="N91" s="7" t="s">
        <v>1</v>
      </c>
    </row>
    <row r="92" spans="2:14" x14ac:dyDescent="0.75">
      <c r="B92" s="6">
        <v>22</v>
      </c>
      <c r="C92" s="2"/>
      <c r="D92" s="2">
        <v>0</v>
      </c>
      <c r="E92" s="2"/>
      <c r="F92" s="2">
        <v>0</v>
      </c>
      <c r="G92" s="2"/>
      <c r="H92" s="2">
        <v>0</v>
      </c>
      <c r="I92" s="2"/>
      <c r="J92" s="2">
        <v>0</v>
      </c>
      <c r="K92" s="2"/>
      <c r="L92" s="2">
        <v>0</v>
      </c>
      <c r="M92" s="2"/>
      <c r="N92" s="2">
        <v>0</v>
      </c>
    </row>
    <row r="93" spans="2:14" x14ac:dyDescent="0.75">
      <c r="B93" s="6">
        <v>21</v>
      </c>
      <c r="C93" s="2"/>
      <c r="D93" s="2">
        <v>0</v>
      </c>
      <c r="E93" s="2"/>
      <c r="F93" s="2">
        <v>0</v>
      </c>
      <c r="G93" s="2"/>
      <c r="H93" s="2">
        <v>0</v>
      </c>
      <c r="I93" s="2"/>
      <c r="J93" s="2">
        <v>0</v>
      </c>
      <c r="K93" s="2"/>
      <c r="L93" s="2">
        <v>0</v>
      </c>
      <c r="M93" s="2"/>
      <c r="N93" s="2">
        <v>0</v>
      </c>
    </row>
    <row r="94" spans="2:14" x14ac:dyDescent="0.75">
      <c r="B94" s="6">
        <v>20</v>
      </c>
      <c r="C94" s="2"/>
      <c r="D94" s="2">
        <v>0</v>
      </c>
      <c r="E94" s="2"/>
      <c r="F94" s="2">
        <v>0</v>
      </c>
      <c r="G94" s="2"/>
      <c r="H94" s="2">
        <v>0</v>
      </c>
      <c r="I94" s="2"/>
      <c r="J94" s="2">
        <v>0</v>
      </c>
      <c r="K94" s="2"/>
      <c r="L94" s="2">
        <v>0</v>
      </c>
      <c r="M94" s="2"/>
      <c r="N94" s="2">
        <v>0</v>
      </c>
    </row>
    <row r="95" spans="2:14" x14ac:dyDescent="0.75">
      <c r="B95" s="6">
        <v>19</v>
      </c>
      <c r="C95" s="2"/>
      <c r="D95" s="2">
        <v>0</v>
      </c>
      <c r="E95" s="2"/>
      <c r="F95" s="2">
        <v>0</v>
      </c>
      <c r="G95" s="2"/>
      <c r="H95" s="2">
        <v>0</v>
      </c>
      <c r="I95" s="2"/>
      <c r="J95" s="2">
        <v>0</v>
      </c>
      <c r="K95" s="2"/>
      <c r="L95" s="2">
        <v>0</v>
      </c>
      <c r="M95" s="2"/>
      <c r="N95" s="2">
        <v>0</v>
      </c>
    </row>
    <row r="96" spans="2:14" x14ac:dyDescent="0.75">
      <c r="B96" s="6">
        <v>18</v>
      </c>
      <c r="C96" s="2"/>
      <c r="D96" s="2">
        <v>0</v>
      </c>
      <c r="E96" s="2"/>
      <c r="F96" s="2">
        <v>0</v>
      </c>
      <c r="G96" s="2"/>
      <c r="H96" s="2">
        <v>0</v>
      </c>
      <c r="I96" s="2"/>
      <c r="J96" s="2">
        <v>0</v>
      </c>
      <c r="K96" s="2"/>
      <c r="L96" s="2">
        <v>0</v>
      </c>
      <c r="M96" s="2"/>
      <c r="N96" s="2">
        <v>0</v>
      </c>
    </row>
    <row r="97" spans="2:14" x14ac:dyDescent="0.75">
      <c r="B97" s="6">
        <v>17</v>
      </c>
      <c r="C97" s="2"/>
      <c r="D97" s="2">
        <v>0</v>
      </c>
      <c r="E97" s="2"/>
      <c r="F97" s="2">
        <v>0</v>
      </c>
      <c r="G97" s="2"/>
      <c r="H97" s="2">
        <v>0</v>
      </c>
      <c r="I97" s="2"/>
      <c r="J97" s="2">
        <v>0</v>
      </c>
      <c r="K97" s="2"/>
      <c r="L97" s="2">
        <v>0</v>
      </c>
      <c r="M97" s="2"/>
      <c r="N97" s="2">
        <v>0</v>
      </c>
    </row>
    <row r="98" spans="2:14" x14ac:dyDescent="0.75">
      <c r="B98" s="6">
        <v>16</v>
      </c>
      <c r="C98" s="2"/>
      <c r="D98" s="2">
        <v>0</v>
      </c>
      <c r="E98" s="2"/>
      <c r="F98" s="2">
        <v>0</v>
      </c>
      <c r="G98" s="2"/>
      <c r="H98" s="2">
        <v>0</v>
      </c>
      <c r="I98" s="2"/>
      <c r="J98" s="2">
        <v>0</v>
      </c>
      <c r="K98" s="2"/>
      <c r="L98" s="2">
        <v>0</v>
      </c>
      <c r="M98" s="2"/>
      <c r="N98" s="2">
        <v>0</v>
      </c>
    </row>
    <row r="99" spans="2:14" x14ac:dyDescent="0.75">
      <c r="B99" s="6">
        <v>15</v>
      </c>
      <c r="C99" s="2"/>
      <c r="D99" s="2">
        <v>0</v>
      </c>
      <c r="E99" s="2"/>
      <c r="F99" s="2">
        <v>0</v>
      </c>
      <c r="G99" s="2"/>
      <c r="H99" s="2">
        <v>0</v>
      </c>
      <c r="I99" s="2"/>
      <c r="J99" s="2">
        <v>0</v>
      </c>
      <c r="K99" s="2"/>
      <c r="L99" s="2">
        <v>0</v>
      </c>
      <c r="M99" s="2"/>
      <c r="N99" s="2">
        <v>0</v>
      </c>
    </row>
    <row r="100" spans="2:14" x14ac:dyDescent="0.75">
      <c r="B100" s="6">
        <v>14</v>
      </c>
      <c r="C100" s="2"/>
      <c r="D100" s="2">
        <v>0</v>
      </c>
      <c r="E100" s="2"/>
      <c r="F100" s="2">
        <v>0</v>
      </c>
      <c r="G100" s="2"/>
      <c r="H100" s="2">
        <v>0</v>
      </c>
      <c r="I100" s="2"/>
      <c r="J100" s="2">
        <v>0</v>
      </c>
      <c r="K100" s="2"/>
      <c r="L100" s="2">
        <v>0</v>
      </c>
      <c r="M100" s="2"/>
      <c r="N100" s="2">
        <v>0</v>
      </c>
    </row>
    <row r="101" spans="2:14" x14ac:dyDescent="0.75">
      <c r="B101" s="6">
        <v>13</v>
      </c>
      <c r="C101" s="2"/>
      <c r="D101" s="2">
        <v>0</v>
      </c>
      <c r="E101" s="2"/>
      <c r="F101" s="2">
        <v>0</v>
      </c>
      <c r="G101" s="2"/>
      <c r="H101" s="2">
        <v>0</v>
      </c>
      <c r="I101" s="2"/>
      <c r="J101" s="2">
        <v>0</v>
      </c>
      <c r="K101" s="2"/>
      <c r="L101" s="2">
        <v>0</v>
      </c>
      <c r="M101" s="2"/>
      <c r="N101" s="2">
        <v>0</v>
      </c>
    </row>
    <row r="102" spans="2:14" x14ac:dyDescent="0.75">
      <c r="B102" s="6">
        <v>12</v>
      </c>
      <c r="C102" s="2"/>
      <c r="D102" s="2">
        <v>0</v>
      </c>
      <c r="E102" s="2"/>
      <c r="F102" s="2">
        <v>0</v>
      </c>
      <c r="G102" s="2"/>
      <c r="H102" s="2">
        <v>0</v>
      </c>
      <c r="I102" s="2"/>
      <c r="J102" s="2">
        <v>0</v>
      </c>
      <c r="K102" s="2"/>
      <c r="L102" s="2">
        <v>0</v>
      </c>
      <c r="M102" s="2"/>
      <c r="N102" s="2">
        <v>0</v>
      </c>
    </row>
    <row r="103" spans="2:14" x14ac:dyDescent="0.75">
      <c r="B103" s="6">
        <v>11</v>
      </c>
      <c r="C103" s="2"/>
      <c r="D103" s="2">
        <v>0</v>
      </c>
      <c r="E103" s="2"/>
      <c r="F103" s="2">
        <v>0</v>
      </c>
      <c r="G103" s="2"/>
      <c r="H103" s="2">
        <v>0</v>
      </c>
      <c r="I103" s="2"/>
      <c r="J103" s="2">
        <v>0</v>
      </c>
      <c r="K103" s="2"/>
      <c r="L103" s="2">
        <v>0</v>
      </c>
      <c r="M103" s="2"/>
      <c r="N103" s="2">
        <v>0</v>
      </c>
    </row>
    <row r="104" spans="2:14" x14ac:dyDescent="0.75">
      <c r="B104" s="6">
        <v>10</v>
      </c>
      <c r="C104" s="2"/>
      <c r="D104" s="2">
        <v>0</v>
      </c>
      <c r="E104" s="2"/>
      <c r="F104" s="2">
        <v>0</v>
      </c>
      <c r="G104" s="2"/>
      <c r="H104" s="2">
        <v>0</v>
      </c>
      <c r="I104" s="2"/>
      <c r="J104" s="2">
        <v>0</v>
      </c>
      <c r="K104" s="2"/>
      <c r="L104" s="2">
        <v>0</v>
      </c>
      <c r="M104" s="2"/>
      <c r="N104" s="2">
        <v>0</v>
      </c>
    </row>
    <row r="105" spans="2:14" x14ac:dyDescent="0.75">
      <c r="B105" s="6">
        <v>9</v>
      </c>
      <c r="C105" s="2"/>
      <c r="D105" s="2">
        <v>0</v>
      </c>
      <c r="E105" s="2"/>
      <c r="F105" s="2">
        <v>0</v>
      </c>
      <c r="G105" s="2"/>
      <c r="H105" s="2">
        <v>0</v>
      </c>
      <c r="I105" s="2"/>
      <c r="J105" s="2">
        <v>0</v>
      </c>
      <c r="K105" s="2"/>
      <c r="L105" s="2">
        <v>0</v>
      </c>
      <c r="M105" s="2"/>
      <c r="N105" s="2">
        <v>0</v>
      </c>
    </row>
    <row r="106" spans="2:14" x14ac:dyDescent="0.75">
      <c r="B106" s="6">
        <v>8</v>
      </c>
      <c r="C106" s="2"/>
      <c r="D106" s="2">
        <v>0</v>
      </c>
      <c r="E106" s="2"/>
      <c r="F106" s="2">
        <v>0</v>
      </c>
      <c r="G106" s="2"/>
      <c r="H106" s="2">
        <v>0</v>
      </c>
      <c r="I106" s="2"/>
      <c r="J106" s="2">
        <v>0</v>
      </c>
      <c r="K106" s="2"/>
      <c r="L106" s="2">
        <v>0</v>
      </c>
      <c r="M106" s="2"/>
      <c r="N106" s="2">
        <v>0</v>
      </c>
    </row>
    <row r="107" spans="2:14" x14ac:dyDescent="0.75">
      <c r="B107" s="6">
        <v>7</v>
      </c>
      <c r="C107" s="2"/>
      <c r="D107" s="2">
        <v>0</v>
      </c>
      <c r="E107" s="2"/>
      <c r="F107" s="2">
        <v>0</v>
      </c>
      <c r="G107" s="2"/>
      <c r="H107" s="2">
        <v>0</v>
      </c>
      <c r="I107" s="2"/>
      <c r="J107" s="2">
        <v>0</v>
      </c>
      <c r="K107" s="2"/>
      <c r="L107" s="2">
        <v>0</v>
      </c>
      <c r="M107" s="2"/>
      <c r="N107" s="2">
        <v>0</v>
      </c>
    </row>
    <row r="108" spans="2:14" x14ac:dyDescent="0.75">
      <c r="B108" s="6">
        <v>6</v>
      </c>
      <c r="C108" s="2"/>
      <c r="D108" s="2">
        <v>0</v>
      </c>
      <c r="E108" s="2"/>
      <c r="F108" s="2">
        <v>0</v>
      </c>
      <c r="G108" s="2"/>
      <c r="H108" s="2">
        <v>0</v>
      </c>
      <c r="I108" s="2"/>
      <c r="J108" s="2">
        <v>0</v>
      </c>
      <c r="K108" s="2"/>
      <c r="L108" s="2">
        <v>0</v>
      </c>
      <c r="M108" s="2"/>
      <c r="N108" s="2">
        <v>0</v>
      </c>
    </row>
    <row r="109" spans="2:14" x14ac:dyDescent="0.75">
      <c r="B109" s="6">
        <v>5</v>
      </c>
      <c r="C109" s="2"/>
      <c r="D109" s="2">
        <v>0</v>
      </c>
      <c r="E109" s="2"/>
      <c r="F109" s="2">
        <v>0</v>
      </c>
      <c r="G109" s="2"/>
      <c r="H109" s="2">
        <v>0</v>
      </c>
      <c r="I109" s="2"/>
      <c r="J109" s="2">
        <v>0</v>
      </c>
      <c r="K109" s="2"/>
      <c r="L109" s="2">
        <v>0</v>
      </c>
      <c r="M109" s="2"/>
      <c r="N109" s="2">
        <v>0</v>
      </c>
    </row>
    <row r="110" spans="2:14" x14ac:dyDescent="0.75">
      <c r="B110" s="6">
        <v>4</v>
      </c>
      <c r="C110" s="2"/>
      <c r="D110" s="2">
        <v>0</v>
      </c>
      <c r="E110" s="2"/>
      <c r="F110" s="2">
        <v>0</v>
      </c>
      <c r="G110" s="2"/>
      <c r="H110" s="2">
        <v>0</v>
      </c>
      <c r="I110" s="2"/>
      <c r="J110" s="2">
        <v>0</v>
      </c>
      <c r="K110" s="2"/>
      <c r="L110" s="2">
        <v>0</v>
      </c>
      <c r="M110" s="2"/>
      <c r="N110" s="2">
        <v>0</v>
      </c>
    </row>
    <row r="111" spans="2:14" x14ac:dyDescent="0.75">
      <c r="B111" s="6">
        <v>3</v>
      </c>
      <c r="C111" s="2"/>
      <c r="D111" s="2">
        <v>0</v>
      </c>
      <c r="E111" s="2"/>
      <c r="F111" s="2">
        <v>0</v>
      </c>
      <c r="G111" s="2"/>
      <c r="H111" s="2">
        <v>0</v>
      </c>
      <c r="I111" s="2"/>
      <c r="J111" s="2">
        <v>0</v>
      </c>
      <c r="K111" s="2"/>
      <c r="L111" s="2">
        <v>0</v>
      </c>
      <c r="M111" s="2"/>
      <c r="N111" s="2">
        <v>0</v>
      </c>
    </row>
    <row r="112" spans="2:14" x14ac:dyDescent="0.75">
      <c r="B112" s="6">
        <v>2</v>
      </c>
      <c r="C112" s="2"/>
      <c r="D112" s="2">
        <v>0</v>
      </c>
      <c r="E112" s="2"/>
      <c r="F112" s="2">
        <v>0</v>
      </c>
      <c r="G112" s="2"/>
      <c r="H112" s="2">
        <v>0</v>
      </c>
      <c r="I112" s="2"/>
      <c r="J112" s="2">
        <v>0</v>
      </c>
      <c r="K112" s="2"/>
      <c r="L112" s="2">
        <v>0</v>
      </c>
      <c r="M112" s="2"/>
      <c r="N112" s="2">
        <v>0</v>
      </c>
    </row>
    <row r="113" spans="2:14" x14ac:dyDescent="0.75">
      <c r="B113" s="6" t="s">
        <v>13</v>
      </c>
      <c r="C113" s="2"/>
      <c r="D113" s="2">
        <v>0</v>
      </c>
      <c r="E113" s="2"/>
      <c r="F113" s="2">
        <v>0</v>
      </c>
      <c r="G113" s="2"/>
      <c r="H113" s="2">
        <v>0</v>
      </c>
      <c r="I113" s="2"/>
      <c r="J113" s="2">
        <v>0</v>
      </c>
      <c r="K113" s="2"/>
      <c r="L113" s="2">
        <v>0</v>
      </c>
      <c r="M113" s="2"/>
      <c r="N113" s="2">
        <v>0</v>
      </c>
    </row>
    <row r="114" spans="2:14" x14ac:dyDescent="0.75">
      <c r="B114" s="6" t="s">
        <v>14</v>
      </c>
      <c r="C114" s="2"/>
      <c r="D114" s="2">
        <v>0</v>
      </c>
      <c r="E114" s="2"/>
      <c r="F114" s="2">
        <v>0</v>
      </c>
      <c r="G114" s="2"/>
      <c r="H114" s="2">
        <v>0</v>
      </c>
      <c r="I114" s="2"/>
      <c r="J114" s="2">
        <v>0</v>
      </c>
      <c r="K114" s="2"/>
      <c r="L114" s="2">
        <v>0</v>
      </c>
      <c r="M114" s="2"/>
      <c r="N114" s="2">
        <v>0</v>
      </c>
    </row>
    <row r="117" spans="2:14" x14ac:dyDescent="0.75">
      <c r="B117" s="25" t="s">
        <v>6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</row>
    <row r="118" spans="2:14" x14ac:dyDescent="0.75">
      <c r="B118" s="27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</row>
    <row r="119" spans="2:14" x14ac:dyDescent="0.75">
      <c r="B119" s="36" t="s">
        <v>0</v>
      </c>
      <c r="C119" s="33" t="s">
        <v>16</v>
      </c>
      <c r="D119" s="34"/>
      <c r="E119" s="35" t="s">
        <v>17</v>
      </c>
      <c r="F119" s="34"/>
      <c r="G119" s="35" t="s">
        <v>18</v>
      </c>
      <c r="H119" s="34"/>
      <c r="I119" s="35" t="s">
        <v>22</v>
      </c>
      <c r="J119" s="34"/>
      <c r="K119" s="35" t="s">
        <v>23</v>
      </c>
      <c r="L119" s="34"/>
      <c r="M119" s="31" t="s">
        <v>24</v>
      </c>
      <c r="N119" s="32"/>
    </row>
    <row r="120" spans="2:14" x14ac:dyDescent="0.75">
      <c r="B120" s="37"/>
      <c r="C120" s="8" t="s">
        <v>9</v>
      </c>
      <c r="D120" s="7" t="s">
        <v>1</v>
      </c>
      <c r="E120" s="8" t="s">
        <v>9</v>
      </c>
      <c r="F120" s="7" t="s">
        <v>1</v>
      </c>
      <c r="G120" s="8" t="s">
        <v>9</v>
      </c>
      <c r="H120" s="7" t="s">
        <v>1</v>
      </c>
      <c r="I120" s="8" t="s">
        <v>9</v>
      </c>
      <c r="J120" s="7" t="s">
        <v>1</v>
      </c>
      <c r="K120" s="8" t="s">
        <v>9</v>
      </c>
      <c r="L120" s="7" t="s">
        <v>1</v>
      </c>
      <c r="M120" s="7" t="s">
        <v>9</v>
      </c>
      <c r="N120" s="7" t="s">
        <v>1</v>
      </c>
    </row>
    <row r="121" spans="2:14" x14ac:dyDescent="0.75">
      <c r="B121" s="6">
        <v>22</v>
      </c>
      <c r="C121" s="2"/>
      <c r="D121" s="2">
        <v>0</v>
      </c>
      <c r="E121" s="2"/>
      <c r="F121" s="2">
        <v>0</v>
      </c>
      <c r="G121" s="2"/>
      <c r="H121" s="2">
        <v>0</v>
      </c>
      <c r="I121" s="2"/>
      <c r="J121" s="2">
        <v>0</v>
      </c>
      <c r="K121" s="2"/>
      <c r="L121" s="2">
        <v>0</v>
      </c>
      <c r="M121" s="2"/>
      <c r="N121" s="2">
        <v>0</v>
      </c>
    </row>
    <row r="122" spans="2:14" x14ac:dyDescent="0.75">
      <c r="B122" s="6">
        <v>21</v>
      </c>
      <c r="C122" s="2"/>
      <c r="D122" s="2">
        <v>0</v>
      </c>
      <c r="E122" s="2"/>
      <c r="F122" s="2">
        <v>0</v>
      </c>
      <c r="G122" s="2"/>
      <c r="H122" s="2">
        <v>0</v>
      </c>
      <c r="I122" s="2"/>
      <c r="J122" s="2">
        <v>0</v>
      </c>
      <c r="K122" s="2"/>
      <c r="L122" s="2">
        <v>0</v>
      </c>
      <c r="M122" s="2"/>
      <c r="N122" s="2">
        <v>0</v>
      </c>
    </row>
    <row r="123" spans="2:14" x14ac:dyDescent="0.75">
      <c r="B123" s="6">
        <v>20</v>
      </c>
      <c r="C123" s="2"/>
      <c r="D123" s="2">
        <v>0</v>
      </c>
      <c r="E123" s="2"/>
      <c r="F123" s="2">
        <v>0</v>
      </c>
      <c r="G123" s="2"/>
      <c r="H123" s="2">
        <v>0</v>
      </c>
      <c r="I123" s="2"/>
      <c r="J123" s="2">
        <v>0</v>
      </c>
      <c r="K123" s="2"/>
      <c r="L123" s="2">
        <v>0</v>
      </c>
      <c r="M123" s="2"/>
      <c r="N123" s="2">
        <v>0</v>
      </c>
    </row>
    <row r="124" spans="2:14" x14ac:dyDescent="0.75">
      <c r="B124" s="6">
        <v>19</v>
      </c>
      <c r="C124" s="2"/>
      <c r="D124" s="2">
        <v>0</v>
      </c>
      <c r="E124" s="2"/>
      <c r="F124" s="2">
        <v>0</v>
      </c>
      <c r="G124" s="2"/>
      <c r="H124" s="2">
        <v>0</v>
      </c>
      <c r="I124" s="2"/>
      <c r="J124" s="2">
        <v>0</v>
      </c>
      <c r="K124" s="2"/>
      <c r="L124" s="2">
        <v>0</v>
      </c>
      <c r="M124" s="2"/>
      <c r="N124" s="2">
        <v>0</v>
      </c>
    </row>
    <row r="125" spans="2:14" x14ac:dyDescent="0.75">
      <c r="B125" s="6">
        <v>18</v>
      </c>
      <c r="C125" s="2"/>
      <c r="D125" s="2">
        <v>0</v>
      </c>
      <c r="E125" s="2"/>
      <c r="F125" s="2">
        <v>0</v>
      </c>
      <c r="G125" s="2"/>
      <c r="H125" s="2">
        <v>0</v>
      </c>
      <c r="I125" s="2"/>
      <c r="J125" s="2">
        <v>0</v>
      </c>
      <c r="K125" s="2"/>
      <c r="L125" s="2">
        <v>0</v>
      </c>
      <c r="M125" s="2"/>
      <c r="N125" s="2">
        <v>0</v>
      </c>
    </row>
    <row r="126" spans="2:14" x14ac:dyDescent="0.75">
      <c r="B126" s="6">
        <v>17</v>
      </c>
      <c r="C126" s="2"/>
      <c r="D126" s="2">
        <v>0</v>
      </c>
      <c r="E126" s="2"/>
      <c r="F126" s="2">
        <v>0</v>
      </c>
      <c r="G126" s="2"/>
      <c r="H126" s="2">
        <v>0</v>
      </c>
      <c r="I126" s="2"/>
      <c r="J126" s="2">
        <v>0</v>
      </c>
      <c r="K126" s="2"/>
      <c r="L126" s="2">
        <v>0</v>
      </c>
      <c r="M126" s="2"/>
      <c r="N126" s="2">
        <v>0</v>
      </c>
    </row>
    <row r="127" spans="2:14" x14ac:dyDescent="0.75">
      <c r="B127" s="6">
        <v>16</v>
      </c>
      <c r="C127" s="2"/>
      <c r="D127" s="2">
        <v>0</v>
      </c>
      <c r="E127" s="2"/>
      <c r="F127" s="2">
        <v>0</v>
      </c>
      <c r="G127" s="2"/>
      <c r="H127" s="2">
        <v>0</v>
      </c>
      <c r="I127" s="2"/>
      <c r="J127" s="2">
        <v>0</v>
      </c>
      <c r="K127" s="2"/>
      <c r="L127" s="2">
        <v>0</v>
      </c>
      <c r="M127" s="2"/>
      <c r="N127" s="2">
        <v>0</v>
      </c>
    </row>
    <row r="128" spans="2:14" x14ac:dyDescent="0.75">
      <c r="B128" s="6">
        <v>15</v>
      </c>
      <c r="C128" s="2"/>
      <c r="D128" s="2">
        <v>0</v>
      </c>
      <c r="E128" s="2"/>
      <c r="F128" s="2">
        <v>0</v>
      </c>
      <c r="G128" s="2"/>
      <c r="H128" s="2">
        <v>0</v>
      </c>
      <c r="I128" s="2"/>
      <c r="J128" s="2">
        <v>0</v>
      </c>
      <c r="K128" s="2"/>
      <c r="L128" s="2">
        <v>0</v>
      </c>
      <c r="M128" s="2"/>
      <c r="N128" s="2">
        <v>0</v>
      </c>
    </row>
    <row r="129" spans="2:14" x14ac:dyDescent="0.75">
      <c r="B129" s="6">
        <v>14</v>
      </c>
      <c r="C129" s="2"/>
      <c r="D129" s="2">
        <v>0</v>
      </c>
      <c r="E129" s="2"/>
      <c r="F129" s="2">
        <v>0</v>
      </c>
      <c r="G129" s="2"/>
      <c r="H129" s="2">
        <v>0</v>
      </c>
      <c r="I129" s="2"/>
      <c r="J129" s="2">
        <v>0</v>
      </c>
      <c r="K129" s="2"/>
      <c r="L129" s="2">
        <v>0</v>
      </c>
      <c r="M129" s="2"/>
      <c r="N129" s="2">
        <v>0</v>
      </c>
    </row>
    <row r="130" spans="2:14" x14ac:dyDescent="0.75">
      <c r="B130" s="6">
        <v>13</v>
      </c>
      <c r="C130" s="2"/>
      <c r="D130" s="2">
        <v>0</v>
      </c>
      <c r="E130" s="2"/>
      <c r="F130" s="2">
        <v>0</v>
      </c>
      <c r="G130" s="2"/>
      <c r="H130" s="2">
        <v>0</v>
      </c>
      <c r="I130" s="2"/>
      <c r="J130" s="2">
        <v>0</v>
      </c>
      <c r="K130" s="2"/>
      <c r="L130" s="2">
        <v>0</v>
      </c>
      <c r="M130" s="2"/>
      <c r="N130" s="2">
        <v>0</v>
      </c>
    </row>
    <row r="131" spans="2:14" x14ac:dyDescent="0.75">
      <c r="B131" s="6">
        <v>12</v>
      </c>
      <c r="C131" s="2"/>
      <c r="D131" s="2">
        <v>0</v>
      </c>
      <c r="E131" s="2"/>
      <c r="F131" s="2">
        <v>0</v>
      </c>
      <c r="G131" s="2"/>
      <c r="H131" s="2">
        <v>0</v>
      </c>
      <c r="I131" s="2"/>
      <c r="J131" s="2">
        <v>0</v>
      </c>
      <c r="K131" s="2"/>
      <c r="L131" s="2">
        <v>0</v>
      </c>
      <c r="M131" s="2"/>
      <c r="N131" s="2">
        <v>0</v>
      </c>
    </row>
    <row r="132" spans="2:14" x14ac:dyDescent="0.75">
      <c r="B132" s="6">
        <v>11</v>
      </c>
      <c r="C132" s="2"/>
      <c r="D132" s="2">
        <v>0</v>
      </c>
      <c r="E132" s="2"/>
      <c r="F132" s="2">
        <v>0</v>
      </c>
      <c r="G132" s="2"/>
      <c r="H132" s="2">
        <v>0</v>
      </c>
      <c r="I132" s="2"/>
      <c r="J132" s="2">
        <v>0</v>
      </c>
      <c r="K132" s="2"/>
      <c r="L132" s="2">
        <v>0</v>
      </c>
      <c r="M132" s="2"/>
      <c r="N132" s="2">
        <v>0</v>
      </c>
    </row>
    <row r="133" spans="2:14" x14ac:dyDescent="0.75">
      <c r="B133" s="6">
        <v>10</v>
      </c>
      <c r="C133" s="2"/>
      <c r="D133" s="2">
        <v>0</v>
      </c>
      <c r="E133" s="2"/>
      <c r="F133" s="2">
        <v>0</v>
      </c>
      <c r="G133" s="2"/>
      <c r="H133" s="2">
        <v>0</v>
      </c>
      <c r="I133" s="2"/>
      <c r="J133" s="2">
        <v>0</v>
      </c>
      <c r="K133" s="2"/>
      <c r="L133" s="2">
        <v>0</v>
      </c>
      <c r="M133" s="2"/>
      <c r="N133" s="2">
        <v>0</v>
      </c>
    </row>
    <row r="134" spans="2:14" x14ac:dyDescent="0.75">
      <c r="B134" s="6">
        <v>9</v>
      </c>
      <c r="C134" s="2"/>
      <c r="D134" s="2">
        <v>0</v>
      </c>
      <c r="E134" s="2"/>
      <c r="F134" s="2">
        <v>0</v>
      </c>
      <c r="G134" s="2"/>
      <c r="H134" s="2">
        <v>0</v>
      </c>
      <c r="I134" s="2"/>
      <c r="J134" s="2">
        <v>0</v>
      </c>
      <c r="K134" s="2"/>
      <c r="L134" s="2">
        <v>0</v>
      </c>
      <c r="M134" s="2"/>
      <c r="N134" s="2">
        <v>0</v>
      </c>
    </row>
    <row r="135" spans="2:14" x14ac:dyDescent="0.75">
      <c r="B135" s="6">
        <v>8</v>
      </c>
      <c r="C135" s="2"/>
      <c r="D135" s="2">
        <v>0</v>
      </c>
      <c r="E135" s="2"/>
      <c r="F135" s="2">
        <v>0</v>
      </c>
      <c r="G135" s="2"/>
      <c r="H135" s="2">
        <v>0</v>
      </c>
      <c r="I135" s="2"/>
      <c r="J135" s="2">
        <v>0</v>
      </c>
      <c r="K135" s="2"/>
      <c r="L135" s="2">
        <v>0</v>
      </c>
      <c r="M135" s="2"/>
      <c r="N135" s="2">
        <v>0</v>
      </c>
    </row>
    <row r="136" spans="2:14" x14ac:dyDescent="0.75">
      <c r="B136" s="6">
        <v>7</v>
      </c>
      <c r="C136" s="2"/>
      <c r="D136" s="2">
        <v>0</v>
      </c>
      <c r="E136" s="2"/>
      <c r="F136" s="2">
        <v>0</v>
      </c>
      <c r="G136" s="2"/>
      <c r="H136" s="2">
        <v>0</v>
      </c>
      <c r="I136" s="2"/>
      <c r="J136" s="2">
        <v>0</v>
      </c>
      <c r="K136" s="2"/>
      <c r="L136" s="2">
        <v>0</v>
      </c>
      <c r="M136" s="2"/>
      <c r="N136" s="2">
        <v>0</v>
      </c>
    </row>
    <row r="137" spans="2:14" x14ac:dyDescent="0.75">
      <c r="B137" s="6">
        <v>6</v>
      </c>
      <c r="C137" s="2"/>
      <c r="D137" s="2">
        <v>0</v>
      </c>
      <c r="E137" s="2"/>
      <c r="F137" s="2">
        <v>0</v>
      </c>
      <c r="G137" s="2"/>
      <c r="H137" s="2">
        <v>0</v>
      </c>
      <c r="I137" s="2"/>
      <c r="J137" s="2">
        <v>0</v>
      </c>
      <c r="K137" s="2"/>
      <c r="L137" s="2">
        <v>0</v>
      </c>
      <c r="M137" s="2"/>
      <c r="N137" s="2">
        <v>0</v>
      </c>
    </row>
    <row r="138" spans="2:14" x14ac:dyDescent="0.75">
      <c r="B138" s="6">
        <v>5</v>
      </c>
      <c r="C138" s="2"/>
      <c r="D138" s="2">
        <v>0</v>
      </c>
      <c r="E138" s="2"/>
      <c r="F138" s="2">
        <v>0</v>
      </c>
      <c r="G138" s="2"/>
      <c r="H138" s="2">
        <v>0</v>
      </c>
      <c r="I138" s="2"/>
      <c r="J138" s="2">
        <v>0</v>
      </c>
      <c r="K138" s="2"/>
      <c r="L138" s="2">
        <v>0</v>
      </c>
      <c r="M138" s="2"/>
      <c r="N138" s="2">
        <v>0</v>
      </c>
    </row>
    <row r="139" spans="2:14" x14ac:dyDescent="0.75">
      <c r="B139" s="6">
        <v>4</v>
      </c>
      <c r="C139" s="2"/>
      <c r="D139" s="2">
        <v>0</v>
      </c>
      <c r="E139" s="2"/>
      <c r="F139" s="2">
        <v>0</v>
      </c>
      <c r="G139" s="2"/>
      <c r="H139" s="2">
        <v>0</v>
      </c>
      <c r="I139" s="2"/>
      <c r="J139" s="2">
        <v>0</v>
      </c>
      <c r="K139" s="2"/>
      <c r="L139" s="2">
        <v>0</v>
      </c>
      <c r="M139" s="2"/>
      <c r="N139" s="2">
        <v>0</v>
      </c>
    </row>
    <row r="140" spans="2:14" x14ac:dyDescent="0.75">
      <c r="B140" s="6">
        <v>3</v>
      </c>
      <c r="C140" s="2"/>
      <c r="D140" s="2">
        <v>0</v>
      </c>
      <c r="E140" s="2"/>
      <c r="F140" s="2">
        <v>0</v>
      </c>
      <c r="G140" s="2"/>
      <c r="H140" s="2">
        <v>0</v>
      </c>
      <c r="I140" s="2"/>
      <c r="J140" s="2">
        <v>0</v>
      </c>
      <c r="K140" s="2"/>
      <c r="L140" s="2">
        <v>0</v>
      </c>
      <c r="M140" s="2"/>
      <c r="N140" s="2">
        <v>0</v>
      </c>
    </row>
    <row r="141" spans="2:14" x14ac:dyDescent="0.75">
      <c r="B141" s="6">
        <v>2</v>
      </c>
      <c r="C141" s="2"/>
      <c r="D141" s="2">
        <v>0</v>
      </c>
      <c r="E141" s="2"/>
      <c r="F141" s="2">
        <v>0</v>
      </c>
      <c r="G141" s="2"/>
      <c r="H141" s="2">
        <v>0</v>
      </c>
      <c r="I141" s="2"/>
      <c r="J141" s="2">
        <v>0</v>
      </c>
      <c r="K141" s="2"/>
      <c r="L141" s="2">
        <v>0</v>
      </c>
      <c r="M141" s="2"/>
      <c r="N141" s="2">
        <v>0</v>
      </c>
    </row>
    <row r="142" spans="2:14" x14ac:dyDescent="0.75">
      <c r="B142" s="6" t="s">
        <v>13</v>
      </c>
      <c r="C142" s="2"/>
      <c r="D142" s="2">
        <v>0</v>
      </c>
      <c r="E142" s="2"/>
      <c r="F142" s="2">
        <v>0</v>
      </c>
      <c r="G142" s="2"/>
      <c r="H142" s="2">
        <v>0</v>
      </c>
      <c r="I142" s="2"/>
      <c r="J142" s="2">
        <v>0</v>
      </c>
      <c r="K142" s="2"/>
      <c r="L142" s="2">
        <v>0</v>
      </c>
      <c r="M142" s="2"/>
      <c r="N142" s="2">
        <v>0</v>
      </c>
    </row>
    <row r="143" spans="2:14" x14ac:dyDescent="0.75">
      <c r="B143" s="6" t="s">
        <v>14</v>
      </c>
      <c r="C143" s="2"/>
      <c r="D143" s="2">
        <v>0</v>
      </c>
      <c r="E143" s="2"/>
      <c r="F143" s="2">
        <v>0</v>
      </c>
      <c r="G143" s="2"/>
      <c r="H143" s="2">
        <v>0</v>
      </c>
      <c r="I143" s="2"/>
      <c r="J143" s="2">
        <v>0</v>
      </c>
      <c r="K143" s="2"/>
      <c r="L143" s="2">
        <v>0</v>
      </c>
      <c r="M143" s="2"/>
      <c r="N143" s="2">
        <v>0</v>
      </c>
    </row>
  </sheetData>
  <mergeCells count="46">
    <mergeCell ref="B117:N118"/>
    <mergeCell ref="B119:B120"/>
    <mergeCell ref="C119:D119"/>
    <mergeCell ref="E119:F119"/>
    <mergeCell ref="G119:H119"/>
    <mergeCell ref="I119:J119"/>
    <mergeCell ref="K119:L119"/>
    <mergeCell ref="M119:N119"/>
    <mergeCell ref="B88:N89"/>
    <mergeCell ref="B90:B91"/>
    <mergeCell ref="C90:D90"/>
    <mergeCell ref="E90:F90"/>
    <mergeCell ref="G90:H90"/>
    <mergeCell ref="I90:J90"/>
    <mergeCell ref="K90:L90"/>
    <mergeCell ref="M90:N90"/>
    <mergeCell ref="K32:L32"/>
    <mergeCell ref="M32:N32"/>
    <mergeCell ref="B59:N60"/>
    <mergeCell ref="B61:B62"/>
    <mergeCell ref="C61:D61"/>
    <mergeCell ref="E61:F61"/>
    <mergeCell ref="G61:H61"/>
    <mergeCell ref="I61:J61"/>
    <mergeCell ref="K61:L61"/>
    <mergeCell ref="M61:N61"/>
    <mergeCell ref="B32:B33"/>
    <mergeCell ref="C32:D32"/>
    <mergeCell ref="E32:F32"/>
    <mergeCell ref="G32:H32"/>
    <mergeCell ref="I32:J32"/>
    <mergeCell ref="B1:R2"/>
    <mergeCell ref="U9:U10"/>
    <mergeCell ref="V9:V10"/>
    <mergeCell ref="S9:S10"/>
    <mergeCell ref="B30:N31"/>
    <mergeCell ref="B3:B4"/>
    <mergeCell ref="M3:N3"/>
    <mergeCell ref="T9:T10"/>
    <mergeCell ref="C3:D3"/>
    <mergeCell ref="E3:F3"/>
    <mergeCell ref="G3:H3"/>
    <mergeCell ref="I3:J3"/>
    <mergeCell ref="K3:L3"/>
    <mergeCell ref="O3:P3"/>
    <mergeCell ref="Q3:R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6C99AFB8-5F0D-48CE-8F86-4F822F56A0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D33:D56</xm:sqref>
        </x14:conditionalFormatting>
        <x14:conditionalFormatting xmlns:xm="http://schemas.microsoft.com/office/excel/2006/main">
          <x14:cfRule type="iconSet" priority="23" id="{AC56BF18-D7D0-4847-BD0C-002D345FB3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D62</xm:sqref>
        </x14:conditionalFormatting>
        <x14:conditionalFormatting xmlns:xm="http://schemas.microsoft.com/office/excel/2006/main">
          <x14:cfRule type="iconSet" priority="58" id="{9947DC55-789D-4BB7-8073-6B0FA58064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D63:D85</xm:sqref>
        </x14:conditionalFormatting>
        <x14:conditionalFormatting xmlns:xm="http://schemas.microsoft.com/office/excel/2006/main">
          <x14:cfRule type="iconSet" priority="17" id="{38BF0220-EF87-4808-AB31-B1767F35AC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D91</xm:sqref>
        </x14:conditionalFormatting>
        <x14:conditionalFormatting xmlns:xm="http://schemas.microsoft.com/office/excel/2006/main">
          <x14:cfRule type="iconSet" priority="46" id="{EA1720D6-300C-4613-A606-54EFBDB77A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D92:D114</xm:sqref>
        </x14:conditionalFormatting>
        <x14:conditionalFormatting xmlns:xm="http://schemas.microsoft.com/office/excel/2006/main">
          <x14:cfRule type="iconSet" priority="11" id="{875049CB-3C32-49DF-8C90-13AFDF6D3A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D120</xm:sqref>
        </x14:conditionalFormatting>
        <x14:conditionalFormatting xmlns:xm="http://schemas.microsoft.com/office/excel/2006/main">
          <x14:cfRule type="iconSet" priority="34" id="{92147044-B0B4-4DD0-B26C-2A1D1A3A66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D121:D143</xm:sqref>
        </x14:conditionalFormatting>
        <x14:conditionalFormatting xmlns:xm="http://schemas.microsoft.com/office/excel/2006/main">
          <x14:cfRule type="iconSet" priority="152" id="{9CC9E80C-15CF-472D-9A24-C68A75FCDD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D147:D1048576 D4:D27</xm:sqref>
        </x14:conditionalFormatting>
        <x14:conditionalFormatting xmlns:xm="http://schemas.microsoft.com/office/excel/2006/main">
          <x14:cfRule type="iconSet" priority="6" id="{09F9AE49-68D5-45A9-99E5-1B16E66090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F33:F56</xm:sqref>
        </x14:conditionalFormatting>
        <x14:conditionalFormatting xmlns:xm="http://schemas.microsoft.com/office/excel/2006/main">
          <x14:cfRule type="iconSet" priority="24" id="{3A5E8B76-54A6-4476-BA7D-199E179A49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F62</xm:sqref>
        </x14:conditionalFormatting>
        <x14:conditionalFormatting xmlns:xm="http://schemas.microsoft.com/office/excel/2006/main">
          <x14:cfRule type="iconSet" priority="59" id="{BCB1EE4E-FDFB-48CA-8C89-48FC7B3653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F63:F85</xm:sqref>
        </x14:conditionalFormatting>
        <x14:conditionalFormatting xmlns:xm="http://schemas.microsoft.com/office/excel/2006/main">
          <x14:cfRule type="iconSet" priority="18" id="{4155ED47-555D-45D3-833B-87D9AA948B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F91</xm:sqref>
        </x14:conditionalFormatting>
        <x14:conditionalFormatting xmlns:xm="http://schemas.microsoft.com/office/excel/2006/main">
          <x14:cfRule type="iconSet" priority="47" id="{13DDC097-BEC2-4BDE-81B1-5EC34BA4D4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F92:F114</xm:sqref>
        </x14:conditionalFormatting>
        <x14:conditionalFormatting xmlns:xm="http://schemas.microsoft.com/office/excel/2006/main">
          <x14:cfRule type="iconSet" priority="12" id="{B5C063B2-4C98-491C-B038-F6E6653DFB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F120</xm:sqref>
        </x14:conditionalFormatting>
        <x14:conditionalFormatting xmlns:xm="http://schemas.microsoft.com/office/excel/2006/main">
          <x14:cfRule type="iconSet" priority="35" id="{A16F0C20-2C47-4650-9303-85FD4FFBE5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F121:F143</xm:sqref>
        </x14:conditionalFormatting>
        <x14:conditionalFormatting xmlns:xm="http://schemas.microsoft.com/office/excel/2006/main">
          <x14:cfRule type="iconSet" priority="154" id="{2DA9B2D0-C705-403D-A7C0-EA09FE403E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F147:F1048576 F4:F27</xm:sqref>
        </x14:conditionalFormatting>
        <x14:conditionalFormatting xmlns:xm="http://schemas.microsoft.com/office/excel/2006/main">
          <x14:cfRule type="iconSet" priority="7" id="{1C0E29A8-EB8E-4AC1-B6DD-27C58774AC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H33:H56</xm:sqref>
        </x14:conditionalFormatting>
        <x14:conditionalFormatting xmlns:xm="http://schemas.microsoft.com/office/excel/2006/main">
          <x14:cfRule type="iconSet" priority="25" id="{48B30612-0ACB-4EF8-B0C7-A06F13BD7B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H62</xm:sqref>
        </x14:conditionalFormatting>
        <x14:conditionalFormatting xmlns:xm="http://schemas.microsoft.com/office/excel/2006/main">
          <x14:cfRule type="iconSet" priority="60" id="{77F0D68B-8D05-46E2-95E0-544EAA8665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H63:H85</xm:sqref>
        </x14:conditionalFormatting>
        <x14:conditionalFormatting xmlns:xm="http://schemas.microsoft.com/office/excel/2006/main">
          <x14:cfRule type="iconSet" priority="19" id="{F291EEC4-BEC5-4E6D-BECD-CC06927DF2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H91</xm:sqref>
        </x14:conditionalFormatting>
        <x14:conditionalFormatting xmlns:xm="http://schemas.microsoft.com/office/excel/2006/main">
          <x14:cfRule type="iconSet" priority="48" id="{14D7D052-7A34-428D-9CF7-4A7EFB0BC8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H92:H114</xm:sqref>
        </x14:conditionalFormatting>
        <x14:conditionalFormatting xmlns:xm="http://schemas.microsoft.com/office/excel/2006/main">
          <x14:cfRule type="iconSet" priority="13" id="{97684E9A-3CC3-48FD-9ED3-4903F370A3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H120</xm:sqref>
        </x14:conditionalFormatting>
        <x14:conditionalFormatting xmlns:xm="http://schemas.microsoft.com/office/excel/2006/main">
          <x14:cfRule type="iconSet" priority="36" id="{C1D2EA35-8D01-42ED-B126-8D4A814DB4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H121:H143</xm:sqref>
        </x14:conditionalFormatting>
        <x14:conditionalFormatting xmlns:xm="http://schemas.microsoft.com/office/excel/2006/main">
          <x14:cfRule type="iconSet" priority="156" id="{23DF03FF-80FF-4C89-93D4-661700272B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H147:H1048576 H4:H27</xm:sqref>
        </x14:conditionalFormatting>
        <x14:conditionalFormatting xmlns:xm="http://schemas.microsoft.com/office/excel/2006/main">
          <x14:cfRule type="iconSet" priority="8" id="{976967C0-E1C0-48F3-AA22-40640F00D6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J33:J56</xm:sqref>
        </x14:conditionalFormatting>
        <x14:conditionalFormatting xmlns:xm="http://schemas.microsoft.com/office/excel/2006/main">
          <x14:cfRule type="iconSet" priority="26" id="{48EBB88A-42C3-4309-9692-A13B8DF8CC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J62</xm:sqref>
        </x14:conditionalFormatting>
        <x14:conditionalFormatting xmlns:xm="http://schemas.microsoft.com/office/excel/2006/main">
          <x14:cfRule type="iconSet" priority="61" id="{CCE51C20-14AC-4D8D-9A64-DCF833334D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J63:J85</xm:sqref>
        </x14:conditionalFormatting>
        <x14:conditionalFormatting xmlns:xm="http://schemas.microsoft.com/office/excel/2006/main">
          <x14:cfRule type="iconSet" priority="20" id="{587A341F-7591-4900-AAF3-55C1207052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J91</xm:sqref>
        </x14:conditionalFormatting>
        <x14:conditionalFormatting xmlns:xm="http://schemas.microsoft.com/office/excel/2006/main">
          <x14:cfRule type="iconSet" priority="49" id="{502D6311-1820-4239-A70C-DC249F3E27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J92:J114</xm:sqref>
        </x14:conditionalFormatting>
        <x14:conditionalFormatting xmlns:xm="http://schemas.microsoft.com/office/excel/2006/main">
          <x14:cfRule type="iconSet" priority="14" id="{5E7845F1-A58D-410B-A344-65959A55A4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J120</xm:sqref>
        </x14:conditionalFormatting>
        <x14:conditionalFormatting xmlns:xm="http://schemas.microsoft.com/office/excel/2006/main">
          <x14:cfRule type="iconSet" priority="37" id="{4C744171-05E4-408D-B0DF-84705A1BFC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J121:J143</xm:sqref>
        </x14:conditionalFormatting>
        <x14:conditionalFormatting xmlns:xm="http://schemas.microsoft.com/office/excel/2006/main">
          <x14:cfRule type="iconSet" priority="159" id="{DF9A8D5C-126D-437B-90D3-4BCA9FD8BA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J147:J1048576 J4:J28</xm:sqref>
        </x14:conditionalFormatting>
        <x14:conditionalFormatting xmlns:xm="http://schemas.microsoft.com/office/excel/2006/main">
          <x14:cfRule type="iconSet" priority="9" id="{AA727AD1-9CEE-47FA-9030-A90531C334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L33:L56</xm:sqref>
        </x14:conditionalFormatting>
        <x14:conditionalFormatting xmlns:xm="http://schemas.microsoft.com/office/excel/2006/main">
          <x14:cfRule type="iconSet" priority="27" id="{2E953C5F-4E5F-4CC9-9D74-9D028BC391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L62</xm:sqref>
        </x14:conditionalFormatting>
        <x14:conditionalFormatting xmlns:xm="http://schemas.microsoft.com/office/excel/2006/main">
          <x14:cfRule type="iconSet" priority="62" id="{6B4F34A1-9361-440C-9B03-9FD6AF23AE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L63:L85</xm:sqref>
        </x14:conditionalFormatting>
        <x14:conditionalFormatting xmlns:xm="http://schemas.microsoft.com/office/excel/2006/main">
          <x14:cfRule type="iconSet" priority="21" id="{F538E3D0-5FBF-4B58-871B-F93225E0B8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L91</xm:sqref>
        </x14:conditionalFormatting>
        <x14:conditionalFormatting xmlns:xm="http://schemas.microsoft.com/office/excel/2006/main">
          <x14:cfRule type="iconSet" priority="50" id="{BD8FE7CF-854E-4A44-8B20-C4DE59270A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L92:L114</xm:sqref>
        </x14:conditionalFormatting>
        <x14:conditionalFormatting xmlns:xm="http://schemas.microsoft.com/office/excel/2006/main">
          <x14:cfRule type="iconSet" priority="15" id="{B6954F59-AFA2-47C3-8313-4D797CD391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L120</xm:sqref>
        </x14:conditionalFormatting>
        <x14:conditionalFormatting xmlns:xm="http://schemas.microsoft.com/office/excel/2006/main">
          <x14:cfRule type="iconSet" priority="38" id="{BCB7667E-9ABE-4B12-861A-B9A98BAC5B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L121:L143</xm:sqref>
        </x14:conditionalFormatting>
        <x14:conditionalFormatting xmlns:xm="http://schemas.microsoft.com/office/excel/2006/main">
          <x14:cfRule type="iconSet" priority="162" id="{13AA830D-3A62-42F3-8101-6AC2A5A50C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L147:L1048576 L4:L27</xm:sqref>
        </x14:conditionalFormatting>
        <x14:conditionalFormatting xmlns:xm="http://schemas.microsoft.com/office/excel/2006/main">
          <x14:cfRule type="iconSet" priority="10" id="{C57646AD-7D19-4D78-9C9E-3F7E324353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N33:N56</xm:sqref>
        </x14:conditionalFormatting>
        <x14:conditionalFormatting xmlns:xm="http://schemas.microsoft.com/office/excel/2006/main">
          <x14:cfRule type="iconSet" priority="28" id="{550EFA4A-1E71-4AF5-8496-1651E5F610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N62</xm:sqref>
        </x14:conditionalFormatting>
        <x14:conditionalFormatting xmlns:xm="http://schemas.microsoft.com/office/excel/2006/main">
          <x14:cfRule type="iconSet" priority="63" id="{3C15FE12-6D7D-4A6D-B044-8ADA95F28C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N63:N64 N68:N85</xm:sqref>
        </x14:conditionalFormatting>
        <x14:conditionalFormatting xmlns:xm="http://schemas.microsoft.com/office/excel/2006/main">
          <x14:cfRule type="iconSet" priority="54" id="{552A2DAE-F0C0-4251-A313-2E7F4CDCBB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N65:N67</xm:sqref>
        </x14:conditionalFormatting>
        <x14:conditionalFormatting xmlns:xm="http://schemas.microsoft.com/office/excel/2006/main">
          <x14:cfRule type="iconSet" priority="22" id="{DE8EDE3F-1A90-4BC2-8A47-06A3B70DAF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N91</xm:sqref>
        </x14:conditionalFormatting>
        <x14:conditionalFormatting xmlns:xm="http://schemas.microsoft.com/office/excel/2006/main">
          <x14:cfRule type="iconSet" priority="51" id="{FF8AD8D0-5A24-4B02-9317-EB98B0C876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N92:N93 N97:N114</xm:sqref>
        </x14:conditionalFormatting>
        <x14:conditionalFormatting xmlns:xm="http://schemas.microsoft.com/office/excel/2006/main">
          <x14:cfRule type="iconSet" priority="42" id="{4FFD3267-7393-40A0-9516-092DDCBB39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N94:N96</xm:sqref>
        </x14:conditionalFormatting>
        <x14:conditionalFormatting xmlns:xm="http://schemas.microsoft.com/office/excel/2006/main">
          <x14:cfRule type="iconSet" priority="16" id="{C9FF105F-4AE3-44DA-89AB-E28378CD04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N120</xm:sqref>
        </x14:conditionalFormatting>
        <x14:conditionalFormatting xmlns:xm="http://schemas.microsoft.com/office/excel/2006/main">
          <x14:cfRule type="iconSet" priority="39" id="{779F9466-0A82-4885-B567-4A02775F7F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N121:N122 N126:N143</xm:sqref>
        </x14:conditionalFormatting>
        <x14:conditionalFormatting xmlns:xm="http://schemas.microsoft.com/office/excel/2006/main">
          <x14:cfRule type="iconSet" priority="30" id="{938D20E7-B917-4395-88A7-600F7E2EF0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N123:N125</xm:sqref>
        </x14:conditionalFormatting>
        <x14:conditionalFormatting xmlns:xm="http://schemas.microsoft.com/office/excel/2006/main">
          <x14:cfRule type="iconSet" priority="165" id="{D98678A5-85C4-4A9C-94C2-3BCFABCE7B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N147:N1048576 N4:N27</xm:sqref>
        </x14:conditionalFormatting>
        <x14:conditionalFormatting xmlns:xm="http://schemas.microsoft.com/office/excel/2006/main">
          <x14:cfRule type="iconSet" priority="4" id="{F2B96AE7-72C0-453E-AFA9-6CEC1638F5F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P4</xm:sqref>
        </x14:conditionalFormatting>
        <x14:conditionalFormatting xmlns:xm="http://schemas.microsoft.com/office/excel/2006/main">
          <x14:cfRule type="iconSet" priority="3" id="{8CACB051-9FC1-4249-8BF1-C2CF12F0BC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P5:P27</xm:sqref>
        </x14:conditionalFormatting>
        <x14:conditionalFormatting xmlns:xm="http://schemas.microsoft.com/office/excel/2006/main">
          <x14:cfRule type="iconSet" priority="2" id="{C6949382-23BA-41BC-92BD-2CA8F268A7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R4</xm:sqref>
        </x14:conditionalFormatting>
        <x14:conditionalFormatting xmlns:xm="http://schemas.microsoft.com/office/excel/2006/main">
          <x14:cfRule type="iconSet" priority="1" id="{6D89AAEC-2EF5-4718-B2C1-74DE31162A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R5:R27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8"/>
  <sheetViews>
    <sheetView tabSelected="1" view="pageBreakPreview" topLeftCell="E1" zoomScale="60" zoomScaleNormal="80" workbookViewId="0">
      <selection activeCell="N8" sqref="N8"/>
    </sheetView>
  </sheetViews>
  <sheetFormatPr defaultRowHeight="14.75" x14ac:dyDescent="0.75"/>
  <cols>
    <col min="1" max="1" width="11.6796875" customWidth="1"/>
    <col min="2" max="2" width="10.40625" customWidth="1"/>
    <col min="3" max="3" width="12.6796875" customWidth="1"/>
    <col min="4" max="4" width="11.953125" customWidth="1"/>
    <col min="5" max="5" width="12.6796875" customWidth="1"/>
    <col min="6" max="6" width="16.453125" customWidth="1"/>
    <col min="7" max="7" width="12.6796875" customWidth="1"/>
    <col min="8" max="8" width="16.58984375" customWidth="1"/>
    <col min="9" max="9" width="12.6796875" customWidth="1"/>
    <col min="10" max="10" width="18.58984375" customWidth="1"/>
    <col min="11" max="13" width="12.6796875" customWidth="1"/>
    <col min="14" max="14" width="18.453125" customWidth="1"/>
    <col min="17" max="17" width="8" customWidth="1"/>
    <col min="18" max="18" width="12.26953125" customWidth="1"/>
    <col min="19" max="19" width="13.1796875" customWidth="1"/>
    <col min="21" max="21" width="8.81640625" customWidth="1"/>
  </cols>
  <sheetData>
    <row r="1" spans="1:21" x14ac:dyDescent="0.75">
      <c r="A1" s="42" t="s">
        <v>47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R1" s="12" t="s">
        <v>19</v>
      </c>
      <c r="S1" s="14">
        <v>6500</v>
      </c>
      <c r="T1" s="1"/>
      <c r="U1" s="10"/>
    </row>
    <row r="2" spans="1:21" ht="16" x14ac:dyDescent="0.75">
      <c r="A2" s="41" t="s">
        <v>51</v>
      </c>
      <c r="B2" s="41" t="s">
        <v>7</v>
      </c>
      <c r="C2" s="43" t="s">
        <v>16</v>
      </c>
      <c r="D2" s="44"/>
      <c r="E2" s="44"/>
      <c r="F2" s="44"/>
      <c r="G2" s="44" t="s">
        <v>17</v>
      </c>
      <c r="H2" s="44"/>
      <c r="I2" s="44"/>
      <c r="J2" s="44"/>
      <c r="K2" s="44" t="s">
        <v>18</v>
      </c>
      <c r="L2" s="44"/>
      <c r="M2" s="44"/>
      <c r="N2" s="44"/>
      <c r="O2" s="46" t="s">
        <v>12</v>
      </c>
      <c r="P2" s="47"/>
      <c r="R2" s="1" t="s">
        <v>16</v>
      </c>
      <c r="S2" s="14">
        <v>5000</v>
      </c>
      <c r="T2" s="1"/>
      <c r="U2" s="10"/>
    </row>
    <row r="3" spans="1:21" x14ac:dyDescent="0.75">
      <c r="A3" s="41"/>
      <c r="B3" s="41"/>
      <c r="C3" s="3" t="s">
        <v>10</v>
      </c>
      <c r="D3" s="3" t="s">
        <v>25</v>
      </c>
      <c r="E3" s="3" t="s">
        <v>9</v>
      </c>
      <c r="F3" s="4" t="s">
        <v>11</v>
      </c>
      <c r="G3" s="3" t="s">
        <v>10</v>
      </c>
      <c r="H3" s="3" t="s">
        <v>25</v>
      </c>
      <c r="I3" s="3" t="s">
        <v>9</v>
      </c>
      <c r="J3" s="4" t="s">
        <v>11</v>
      </c>
      <c r="K3" s="3" t="s">
        <v>10</v>
      </c>
      <c r="L3" s="3" t="s">
        <v>25</v>
      </c>
      <c r="M3" s="3" t="s">
        <v>9</v>
      </c>
      <c r="N3" s="3" t="s">
        <v>11</v>
      </c>
      <c r="O3" s="46"/>
      <c r="P3" s="47"/>
      <c r="R3" s="11" t="s">
        <v>20</v>
      </c>
      <c r="S3" s="14">
        <v>1500</v>
      </c>
      <c r="T3" s="11"/>
      <c r="U3" s="10"/>
    </row>
    <row r="4" spans="1:21" x14ac:dyDescent="0.75">
      <c r="A4" s="5"/>
      <c r="B4" s="5" t="s">
        <v>41</v>
      </c>
      <c r="C4" s="1"/>
      <c r="D4" s="1"/>
      <c r="E4" s="1"/>
      <c r="F4" s="1"/>
      <c r="G4" s="1" t="s">
        <v>117</v>
      </c>
      <c r="H4" s="1">
        <v>5</v>
      </c>
      <c r="I4" s="1">
        <v>5590</v>
      </c>
      <c r="J4" s="15">
        <f>(I4*S6)</f>
        <v>19565000</v>
      </c>
      <c r="K4" s="1"/>
      <c r="L4" s="1"/>
      <c r="M4" s="1"/>
      <c r="N4" s="1"/>
      <c r="O4" s="40">
        <f>J4</f>
        <v>19565000</v>
      </c>
      <c r="P4" s="39"/>
      <c r="S4" s="10"/>
    </row>
    <row r="5" spans="1:21" x14ac:dyDescent="0.75">
      <c r="A5" s="5" t="s">
        <v>59</v>
      </c>
      <c r="B5" s="5" t="s">
        <v>42</v>
      </c>
      <c r="C5" s="1"/>
      <c r="D5" s="1"/>
      <c r="E5" s="9"/>
      <c r="F5" s="1"/>
      <c r="G5" s="1" t="s">
        <v>58</v>
      </c>
      <c r="H5" s="1">
        <v>5</v>
      </c>
      <c r="I5" s="1">
        <v>5746</v>
      </c>
      <c r="J5" s="15">
        <f>(I5*S6)</f>
        <v>20111000</v>
      </c>
      <c r="K5" s="1"/>
      <c r="L5" s="1"/>
      <c r="M5" s="1"/>
      <c r="N5" s="1"/>
      <c r="O5" s="40">
        <f>J5</f>
        <v>20111000</v>
      </c>
      <c r="P5" s="39"/>
      <c r="R5" s="12" t="s">
        <v>19</v>
      </c>
      <c r="S5" s="14">
        <v>6500</v>
      </c>
    </row>
    <row r="6" spans="1:21" x14ac:dyDescent="0.75">
      <c r="A6" s="5" t="s">
        <v>63</v>
      </c>
      <c r="B6" s="5" t="s">
        <v>43</v>
      </c>
      <c r="C6" s="1" t="s">
        <v>64</v>
      </c>
      <c r="D6" s="1">
        <v>6</v>
      </c>
      <c r="E6" s="1">
        <v>1347</v>
      </c>
      <c r="F6" s="15">
        <f>(E6*S2)</f>
        <v>6735000</v>
      </c>
      <c r="G6" s="1"/>
      <c r="H6" s="1"/>
      <c r="I6" s="1"/>
      <c r="J6" s="1"/>
      <c r="K6" s="1"/>
      <c r="L6" s="1"/>
      <c r="M6" s="1"/>
      <c r="N6" s="1"/>
      <c r="O6" s="40">
        <f>F6</f>
        <v>6735000</v>
      </c>
      <c r="P6" s="39"/>
      <c r="R6" s="1" t="s">
        <v>17</v>
      </c>
      <c r="S6" s="14">
        <v>3500</v>
      </c>
    </row>
    <row r="7" spans="1:21" x14ac:dyDescent="0.75">
      <c r="A7" s="5" t="s">
        <v>60</v>
      </c>
      <c r="B7" s="5" t="s">
        <v>44</v>
      </c>
      <c r="C7" s="1" t="s">
        <v>61</v>
      </c>
      <c r="D7" s="1">
        <v>2</v>
      </c>
      <c r="E7" s="1">
        <v>425</v>
      </c>
      <c r="F7" s="15">
        <f>(E7*S2)</f>
        <v>2125000</v>
      </c>
      <c r="G7" s="1" t="s">
        <v>62</v>
      </c>
      <c r="H7" s="1">
        <v>5</v>
      </c>
      <c r="I7" s="1">
        <v>5637</v>
      </c>
      <c r="J7" s="15">
        <f>(I7*S6)</f>
        <v>19729500</v>
      </c>
      <c r="K7" s="1"/>
      <c r="L7" s="1"/>
      <c r="M7" s="1"/>
      <c r="N7" s="1"/>
      <c r="O7" s="40">
        <f>SUM(J7+F7)</f>
        <v>21854500</v>
      </c>
      <c r="P7" s="39"/>
      <c r="R7" s="11" t="s">
        <v>18</v>
      </c>
      <c r="S7" s="14">
        <v>1500</v>
      </c>
    </row>
    <row r="8" spans="1:21" x14ac:dyDescent="0.75">
      <c r="A8" s="5" t="s">
        <v>68</v>
      </c>
      <c r="B8" s="5" t="s">
        <v>45</v>
      </c>
      <c r="C8" s="1" t="s">
        <v>69</v>
      </c>
      <c r="D8" s="1">
        <v>3</v>
      </c>
      <c r="E8" s="1">
        <v>669</v>
      </c>
      <c r="F8" s="15">
        <f>(E8*S2)</f>
        <v>3345000</v>
      </c>
      <c r="G8" s="1" t="s">
        <v>115</v>
      </c>
      <c r="H8" s="1">
        <v>2</v>
      </c>
      <c r="I8" s="1">
        <v>2281</v>
      </c>
      <c r="J8" s="15">
        <f>(I8*S6)</f>
        <v>7983500</v>
      </c>
      <c r="K8" s="1"/>
      <c r="L8" s="1"/>
      <c r="M8" s="1"/>
      <c r="N8" s="1"/>
      <c r="O8" s="40">
        <f>SUM(J8+F8)</f>
        <v>11328500</v>
      </c>
      <c r="P8" s="39"/>
      <c r="R8" s="1" t="s">
        <v>20</v>
      </c>
      <c r="S8" s="14">
        <v>1500</v>
      </c>
    </row>
    <row r="9" spans="1:21" x14ac:dyDescent="0.75">
      <c r="A9" s="5" t="s">
        <v>70</v>
      </c>
      <c r="B9" s="5" t="s">
        <v>112</v>
      </c>
      <c r="C9" s="1" t="s">
        <v>71</v>
      </c>
      <c r="D9" s="1">
        <v>2</v>
      </c>
      <c r="E9" s="1">
        <v>446</v>
      </c>
      <c r="F9" s="15">
        <f>(E9*S2)</f>
        <v>2230000</v>
      </c>
      <c r="G9" s="1"/>
      <c r="H9" s="1"/>
      <c r="I9" s="1"/>
      <c r="J9" s="1"/>
      <c r="K9" s="1"/>
      <c r="L9" s="1"/>
      <c r="M9" s="1"/>
      <c r="N9" s="1"/>
      <c r="O9" s="40">
        <f>F9</f>
        <v>2230000</v>
      </c>
      <c r="P9" s="39"/>
    </row>
    <row r="10" spans="1:21" x14ac:dyDescent="0.75">
      <c r="A10" s="5" t="s">
        <v>118</v>
      </c>
      <c r="B10" s="5" t="s">
        <v>113</v>
      </c>
      <c r="C10" s="1" t="s">
        <v>119</v>
      </c>
      <c r="D10" s="1">
        <v>3</v>
      </c>
      <c r="E10" s="1">
        <v>668</v>
      </c>
      <c r="F10" s="15">
        <f>(E10*S2)</f>
        <v>3340000</v>
      </c>
      <c r="G10" s="1" t="s">
        <v>116</v>
      </c>
      <c r="H10" s="1">
        <v>3</v>
      </c>
      <c r="I10" s="1">
        <v>3432</v>
      </c>
      <c r="J10" s="15">
        <f>(I10*S6)</f>
        <v>12012000</v>
      </c>
      <c r="K10" s="1">
        <v>20</v>
      </c>
      <c r="L10" s="1" t="s">
        <v>126</v>
      </c>
      <c r="M10" s="1">
        <v>1013.65</v>
      </c>
      <c r="N10" s="15">
        <f>(M10*S7)</f>
        <v>1520475</v>
      </c>
      <c r="O10" s="40">
        <f>SUM(N10+J10+F10)</f>
        <v>16872475</v>
      </c>
      <c r="P10" s="39"/>
    </row>
    <row r="11" spans="1:21" x14ac:dyDescent="0.75">
      <c r="A11" s="5" t="s">
        <v>78</v>
      </c>
      <c r="B11" s="5" t="s">
        <v>29</v>
      </c>
      <c r="C11" s="1"/>
      <c r="D11" s="1"/>
      <c r="E11" s="1"/>
      <c r="F11" s="1"/>
      <c r="G11" s="18" t="s">
        <v>83</v>
      </c>
      <c r="H11" s="1" t="s">
        <v>84</v>
      </c>
      <c r="I11" s="1">
        <v>740</v>
      </c>
      <c r="J11" s="15">
        <f>(I11*S6)</f>
        <v>2590000</v>
      </c>
      <c r="K11" s="1"/>
      <c r="L11" s="1"/>
      <c r="M11" s="1"/>
      <c r="N11" s="14"/>
      <c r="O11" s="40">
        <f>J11</f>
        <v>2590000</v>
      </c>
      <c r="P11" s="39"/>
    </row>
    <row r="12" spans="1:21" x14ac:dyDescent="0.75">
      <c r="A12" s="5" t="s">
        <v>78</v>
      </c>
      <c r="B12" s="5" t="s">
        <v>30</v>
      </c>
      <c r="C12" s="18" t="s">
        <v>79</v>
      </c>
      <c r="D12" s="1" t="s">
        <v>85</v>
      </c>
      <c r="E12" s="1">
        <v>474</v>
      </c>
      <c r="F12" s="15">
        <f>(E12*S2)</f>
        <v>2370000</v>
      </c>
      <c r="G12" s="1"/>
      <c r="H12" s="1"/>
      <c r="I12" s="1"/>
      <c r="J12" s="1"/>
      <c r="K12" s="1"/>
      <c r="L12" s="1"/>
      <c r="M12" s="1"/>
      <c r="N12" s="1"/>
      <c r="O12" s="40">
        <f>(F12)</f>
        <v>2370000</v>
      </c>
      <c r="P12" s="39"/>
    </row>
    <row r="13" spans="1:21" x14ac:dyDescent="0.75">
      <c r="A13" s="5" t="s">
        <v>78</v>
      </c>
      <c r="B13" s="5" t="s">
        <v>31</v>
      </c>
      <c r="C13" s="1"/>
      <c r="D13" s="1"/>
      <c r="E13" s="1"/>
      <c r="F13" s="1"/>
      <c r="G13" s="1"/>
      <c r="H13" s="1"/>
      <c r="I13" s="1"/>
      <c r="J13" s="1"/>
      <c r="K13" s="18">
        <v>20</v>
      </c>
      <c r="L13" s="1" t="s">
        <v>87</v>
      </c>
      <c r="M13" s="1">
        <v>135.27000000000001</v>
      </c>
      <c r="N13" s="16">
        <f>(M13*S7)</f>
        <v>202905.00000000003</v>
      </c>
      <c r="O13" s="40">
        <f>N13</f>
        <v>202905.00000000003</v>
      </c>
      <c r="P13" s="39"/>
    </row>
    <row r="14" spans="1:21" x14ac:dyDescent="0.75">
      <c r="A14" s="5" t="s">
        <v>78</v>
      </c>
      <c r="B14" s="5" t="s">
        <v>32</v>
      </c>
      <c r="C14" s="1"/>
      <c r="D14" s="1"/>
      <c r="E14" s="1"/>
      <c r="F14" s="1"/>
      <c r="G14" s="1" t="s">
        <v>94</v>
      </c>
      <c r="H14" s="1">
        <v>3</v>
      </c>
      <c r="I14" s="1">
        <v>444</v>
      </c>
      <c r="J14" s="15">
        <f>(I14*S6)</f>
        <v>1554000</v>
      </c>
      <c r="K14" s="1"/>
      <c r="L14" s="1"/>
      <c r="M14" s="1"/>
      <c r="N14" s="1"/>
      <c r="O14" s="40">
        <f>N14+J14</f>
        <v>1554000</v>
      </c>
      <c r="P14" s="39"/>
    </row>
    <row r="15" spans="1:21" x14ac:dyDescent="0.75">
      <c r="A15" s="5" t="s">
        <v>97</v>
      </c>
      <c r="B15" s="5" t="s">
        <v>33</v>
      </c>
      <c r="C15" s="1"/>
      <c r="D15" s="1"/>
      <c r="E15" s="1"/>
      <c r="F15" s="1"/>
      <c r="G15" s="1"/>
      <c r="H15" s="1"/>
      <c r="I15" s="1"/>
      <c r="J15" s="1"/>
      <c r="K15" s="1" t="s">
        <v>69</v>
      </c>
      <c r="L15" s="1">
        <v>3</v>
      </c>
      <c r="M15" s="1">
        <v>2837</v>
      </c>
      <c r="N15" s="15">
        <f>(M15*S7)</f>
        <v>4255500</v>
      </c>
      <c r="O15" s="40">
        <f>N15</f>
        <v>4255500</v>
      </c>
      <c r="P15" s="39"/>
    </row>
    <row r="16" spans="1:21" x14ac:dyDescent="0.75">
      <c r="A16" s="5" t="s">
        <v>102</v>
      </c>
      <c r="B16" s="5" t="s">
        <v>34</v>
      </c>
      <c r="C16" s="1"/>
      <c r="D16" s="1"/>
      <c r="E16" s="1"/>
      <c r="F16" s="1"/>
      <c r="G16" s="1"/>
      <c r="H16" s="1"/>
      <c r="I16" s="1"/>
      <c r="J16" s="1"/>
      <c r="K16" s="18" t="s">
        <v>103</v>
      </c>
      <c r="L16" s="1">
        <v>1</v>
      </c>
      <c r="M16" s="1">
        <v>1281</v>
      </c>
      <c r="N16" s="15">
        <f>(M16*S7)</f>
        <v>1921500</v>
      </c>
      <c r="O16" s="40">
        <f>N16</f>
        <v>1921500</v>
      </c>
      <c r="P16" s="39"/>
    </row>
    <row r="17" spans="1:19" x14ac:dyDescent="0.75">
      <c r="A17" s="5" t="s">
        <v>100</v>
      </c>
      <c r="B17" s="5" t="s">
        <v>35</v>
      </c>
      <c r="C17" s="1"/>
      <c r="D17" s="1"/>
      <c r="E17" s="1"/>
      <c r="F17" s="1"/>
      <c r="G17" s="1"/>
      <c r="H17" s="1"/>
      <c r="I17" s="1"/>
      <c r="J17" s="1"/>
      <c r="K17" s="1" t="s">
        <v>101</v>
      </c>
      <c r="L17" s="1">
        <v>6</v>
      </c>
      <c r="M17" s="1">
        <v>5674.8</v>
      </c>
      <c r="N17" s="15">
        <f>(M17*S7)</f>
        <v>8512200</v>
      </c>
      <c r="O17" s="40">
        <f>N17</f>
        <v>8512200</v>
      </c>
      <c r="P17" s="39"/>
    </row>
    <row r="18" spans="1:19" x14ac:dyDescent="0.75">
      <c r="A18" s="5" t="s">
        <v>107</v>
      </c>
      <c r="B18" s="5" t="s">
        <v>36</v>
      </c>
      <c r="C18" s="18" t="s">
        <v>79</v>
      </c>
      <c r="D18" s="1" t="s">
        <v>109</v>
      </c>
      <c r="E18" s="1" t="s">
        <v>110</v>
      </c>
      <c r="F18" s="15">
        <f>(20*250000)</f>
        <v>5000000</v>
      </c>
      <c r="G18" s="1"/>
      <c r="H18" s="1"/>
      <c r="I18" s="1"/>
      <c r="J18" s="1"/>
      <c r="K18" s="1" t="s">
        <v>108</v>
      </c>
      <c r="L18" s="1">
        <v>4</v>
      </c>
      <c r="M18" s="1">
        <v>3780</v>
      </c>
      <c r="N18" s="15">
        <f>(M18*S7)</f>
        <v>5670000</v>
      </c>
      <c r="O18" s="40">
        <f>N18+F18</f>
        <v>10670000</v>
      </c>
      <c r="P18" s="39"/>
    </row>
    <row r="19" spans="1:19" x14ac:dyDescent="0.75">
      <c r="A19" s="5"/>
      <c r="B19" s="5" t="s">
        <v>120</v>
      </c>
      <c r="C19" s="1" t="s">
        <v>121</v>
      </c>
      <c r="D19" s="1">
        <v>4</v>
      </c>
      <c r="E19" s="1">
        <v>883</v>
      </c>
      <c r="F19" s="15">
        <f>(E19*S2)</f>
        <v>4415000</v>
      </c>
      <c r="G19" s="1"/>
      <c r="H19" s="1"/>
      <c r="I19" s="1"/>
      <c r="J19" s="1"/>
      <c r="K19" s="1"/>
      <c r="L19" s="1"/>
      <c r="M19" s="1"/>
      <c r="N19" s="1"/>
      <c r="O19" s="40">
        <f>F19</f>
        <v>4415000</v>
      </c>
      <c r="P19" s="39"/>
    </row>
    <row r="20" spans="1:19" x14ac:dyDescent="0.75">
      <c r="A20" s="5" t="s">
        <v>125</v>
      </c>
      <c r="B20" s="5" t="s">
        <v>124</v>
      </c>
      <c r="C20" s="1"/>
      <c r="D20" s="1"/>
      <c r="E20" s="1"/>
      <c r="F20" s="1"/>
      <c r="G20" s="1"/>
      <c r="H20" s="1"/>
      <c r="I20" s="1"/>
      <c r="J20" s="1"/>
      <c r="K20" s="1" t="s">
        <v>58</v>
      </c>
      <c r="L20" s="1">
        <v>5</v>
      </c>
      <c r="M20" s="1">
        <v>4725</v>
      </c>
      <c r="N20" s="15">
        <f>(M20*S7)</f>
        <v>7087500</v>
      </c>
      <c r="O20" s="40">
        <f>N20</f>
        <v>7087500</v>
      </c>
      <c r="P20" s="39"/>
    </row>
    <row r="21" spans="1:19" x14ac:dyDescent="0.75">
      <c r="A21" s="5"/>
      <c r="B21" s="5" t="s">
        <v>114</v>
      </c>
      <c r="D21" s="1"/>
      <c r="E21" s="1"/>
      <c r="F21" s="19"/>
      <c r="G21" s="18" t="s">
        <v>122</v>
      </c>
      <c r="H21" s="1" t="s">
        <v>123</v>
      </c>
      <c r="I21" s="1">
        <v>746.4</v>
      </c>
      <c r="J21" s="20">
        <f>(I21*S5)</f>
        <v>4851600</v>
      </c>
      <c r="O21" s="40">
        <f>J21</f>
        <v>4851600</v>
      </c>
      <c r="P21" s="39"/>
    </row>
    <row r="22" spans="1:19" x14ac:dyDescent="0.75">
      <c r="A22" s="5" t="s">
        <v>74</v>
      </c>
      <c r="B22" s="5"/>
      <c r="G22" s="1"/>
      <c r="H22" s="1"/>
      <c r="I22" s="1"/>
      <c r="J22" s="1"/>
      <c r="K22" s="18" t="s">
        <v>127</v>
      </c>
      <c r="L22" s="18" t="s">
        <v>129</v>
      </c>
      <c r="M22" s="18">
        <v>1330</v>
      </c>
      <c r="N22" s="21">
        <f>(M22*S7)</f>
        <v>1995000</v>
      </c>
      <c r="O22" s="39"/>
      <c r="P22" s="39"/>
    </row>
    <row r="23" spans="1:19" x14ac:dyDescent="0.75">
      <c r="A23" s="5" t="s">
        <v>134</v>
      </c>
      <c r="B23" s="5" t="s">
        <v>135</v>
      </c>
      <c r="C23" s="1">
        <v>22</v>
      </c>
      <c r="D23" s="1">
        <v>1</v>
      </c>
      <c r="E23" s="1">
        <v>223</v>
      </c>
      <c r="F23" s="15">
        <f>E23*S2</f>
        <v>1115000</v>
      </c>
      <c r="G23" s="1">
        <v>22</v>
      </c>
      <c r="H23" s="1">
        <v>1</v>
      </c>
      <c r="I23" s="1">
        <v>1245</v>
      </c>
      <c r="J23" s="15">
        <f>(I23*S6)</f>
        <v>4357500</v>
      </c>
      <c r="K23" s="1">
        <v>22</v>
      </c>
      <c r="L23" s="1">
        <v>1</v>
      </c>
      <c r="M23" s="1">
        <v>1245</v>
      </c>
      <c r="N23" s="20">
        <f>(M23*S7)</f>
        <v>1867500</v>
      </c>
      <c r="O23" s="40">
        <f>N23+J23+F23</f>
        <v>7340000</v>
      </c>
      <c r="P23" s="39"/>
    </row>
    <row r="24" spans="1:19" x14ac:dyDescent="0.75">
      <c r="A24" s="5" t="s">
        <v>133</v>
      </c>
      <c r="B24" s="5" t="s">
        <v>135</v>
      </c>
      <c r="K24" s="1" t="s">
        <v>132</v>
      </c>
      <c r="L24" s="1" t="s">
        <v>128</v>
      </c>
      <c r="M24" s="1">
        <v>2337</v>
      </c>
      <c r="N24" s="20">
        <f>(M24*S7)</f>
        <v>3505500</v>
      </c>
      <c r="O24" s="40">
        <f>N24</f>
        <v>3505500</v>
      </c>
      <c r="P24" s="39"/>
    </row>
    <row r="25" spans="1:19" x14ac:dyDescent="0.75">
      <c r="A25" s="5"/>
      <c r="B25" s="5"/>
      <c r="G25" s="18" t="s">
        <v>79</v>
      </c>
      <c r="H25" s="18" t="s">
        <v>130</v>
      </c>
      <c r="I25" s="18">
        <v>540</v>
      </c>
      <c r="J25" s="21">
        <f>(I25*S6)</f>
        <v>1890000</v>
      </c>
      <c r="K25" s="18" t="s">
        <v>79</v>
      </c>
      <c r="L25" s="18" t="s">
        <v>130</v>
      </c>
      <c r="M25" s="18">
        <v>540</v>
      </c>
      <c r="N25" s="21">
        <f>(M25*S7)</f>
        <v>810000</v>
      </c>
      <c r="O25" s="40">
        <f>N25+J25</f>
        <v>2700000</v>
      </c>
      <c r="P25" s="39"/>
    </row>
    <row r="26" spans="1:19" x14ac:dyDescent="0.75">
      <c r="A26" s="5"/>
      <c r="B26" s="5"/>
      <c r="G26" s="18" t="s">
        <v>79</v>
      </c>
      <c r="H26" s="18" t="s">
        <v>131</v>
      </c>
      <c r="I26" s="18">
        <f>110*20</f>
        <v>2200</v>
      </c>
      <c r="J26" s="21">
        <f>I26*500</f>
        <v>1100000</v>
      </c>
      <c r="K26" s="18"/>
      <c r="L26" s="18"/>
      <c r="M26" s="18"/>
      <c r="N26" s="18"/>
      <c r="O26" s="38">
        <f>J26</f>
        <v>1100000</v>
      </c>
      <c r="P26" s="38"/>
    </row>
    <row r="27" spans="1:19" x14ac:dyDescent="0.75">
      <c r="A27" s="5"/>
      <c r="B27" s="5"/>
      <c r="C27" s="18"/>
      <c r="D27" s="22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38"/>
      <c r="P27" s="38"/>
    </row>
    <row r="28" spans="1:19" x14ac:dyDescent="0.75">
      <c r="A28" s="5"/>
      <c r="B28" s="5"/>
      <c r="C28" s="18"/>
      <c r="D28" s="18"/>
      <c r="E28" s="18"/>
      <c r="F28" s="23"/>
      <c r="G28" s="18"/>
      <c r="H28" s="18"/>
      <c r="I28" s="18"/>
      <c r="J28" s="18"/>
      <c r="K28" s="18"/>
      <c r="L28" s="18"/>
      <c r="M28" s="18"/>
      <c r="N28" s="18"/>
      <c r="O28" s="38">
        <f>N28+J28+F28</f>
        <v>0</v>
      </c>
      <c r="P28" s="38"/>
    </row>
    <row r="29" spans="1:19" x14ac:dyDescent="0.75">
      <c r="O29" s="48">
        <f>SUM(O4:P26)</f>
        <v>161772180</v>
      </c>
      <c r="P29" s="49"/>
    </row>
    <row r="30" spans="1:19" x14ac:dyDescent="0.75">
      <c r="O30" s="49"/>
      <c r="P30" s="49"/>
    </row>
    <row r="32" spans="1:19" x14ac:dyDescent="0.75">
      <c r="A32" s="42" t="s">
        <v>46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R32" s="12" t="s">
        <v>19</v>
      </c>
      <c r="S32" s="14">
        <v>6500</v>
      </c>
    </row>
    <row r="33" spans="1:19" ht="16" x14ac:dyDescent="0.75">
      <c r="A33" s="41" t="s">
        <v>51</v>
      </c>
      <c r="B33" s="41" t="s">
        <v>7</v>
      </c>
      <c r="C33" s="43" t="s">
        <v>16</v>
      </c>
      <c r="D33" s="44"/>
      <c r="E33" s="44"/>
      <c r="F33" s="44"/>
      <c r="G33" s="44" t="s">
        <v>17</v>
      </c>
      <c r="H33" s="44"/>
      <c r="I33" s="44"/>
      <c r="J33" s="44"/>
      <c r="K33" s="44" t="s">
        <v>18</v>
      </c>
      <c r="L33" s="44"/>
      <c r="M33" s="44"/>
      <c r="N33" s="44"/>
      <c r="O33" s="46" t="s">
        <v>12</v>
      </c>
      <c r="P33" s="47"/>
      <c r="R33" s="1" t="s">
        <v>16</v>
      </c>
      <c r="S33" s="14">
        <v>5000</v>
      </c>
    </row>
    <row r="34" spans="1:19" x14ac:dyDescent="0.75">
      <c r="A34" s="41"/>
      <c r="B34" s="41"/>
      <c r="C34" s="3" t="s">
        <v>10</v>
      </c>
      <c r="D34" s="3" t="s">
        <v>25</v>
      </c>
      <c r="E34" s="3" t="s">
        <v>9</v>
      </c>
      <c r="F34" s="4" t="s">
        <v>11</v>
      </c>
      <c r="G34" s="3" t="s">
        <v>10</v>
      </c>
      <c r="H34" s="3" t="s">
        <v>25</v>
      </c>
      <c r="I34" s="3" t="s">
        <v>9</v>
      </c>
      <c r="J34" s="4" t="s">
        <v>11</v>
      </c>
      <c r="K34" s="3" t="s">
        <v>10</v>
      </c>
      <c r="L34" s="3" t="s">
        <v>25</v>
      </c>
      <c r="M34" s="3" t="s">
        <v>9</v>
      </c>
      <c r="N34" s="3" t="s">
        <v>11</v>
      </c>
      <c r="O34" s="46"/>
      <c r="P34" s="47"/>
      <c r="R34" s="11" t="s">
        <v>20</v>
      </c>
      <c r="S34" s="14">
        <v>1500</v>
      </c>
    </row>
    <row r="35" spans="1:19" x14ac:dyDescent="0.75">
      <c r="A35" s="5"/>
      <c r="B35" s="5" t="s">
        <v>41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9"/>
      <c r="P35" s="39"/>
      <c r="S35" s="10"/>
    </row>
    <row r="36" spans="1:19" x14ac:dyDescent="0.75">
      <c r="A36" s="5"/>
      <c r="B36" s="5" t="s">
        <v>42</v>
      </c>
      <c r="C36" s="1"/>
      <c r="D36" s="1"/>
      <c r="E36" s="9"/>
      <c r="F36" s="1"/>
      <c r="G36" s="1"/>
      <c r="H36" s="1"/>
      <c r="I36" s="1"/>
      <c r="J36" s="1"/>
      <c r="K36" s="1"/>
      <c r="L36" s="1"/>
      <c r="M36" s="1"/>
      <c r="N36" s="1"/>
      <c r="O36" s="39"/>
      <c r="P36" s="39"/>
      <c r="R36" s="12" t="s">
        <v>19</v>
      </c>
      <c r="S36" s="14">
        <v>6500</v>
      </c>
    </row>
    <row r="37" spans="1:19" x14ac:dyDescent="0.75">
      <c r="A37" s="5"/>
      <c r="B37" s="5" t="s">
        <v>43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9"/>
      <c r="P37" s="39"/>
      <c r="R37" s="1" t="s">
        <v>17</v>
      </c>
      <c r="S37" s="14">
        <v>3500</v>
      </c>
    </row>
    <row r="38" spans="1:19" x14ac:dyDescent="0.75">
      <c r="A38" s="5"/>
      <c r="B38" s="5" t="s">
        <v>44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9"/>
      <c r="P38" s="39"/>
      <c r="R38" s="11" t="s">
        <v>18</v>
      </c>
      <c r="S38" s="14">
        <v>1500</v>
      </c>
    </row>
    <row r="39" spans="1:19" x14ac:dyDescent="0.75">
      <c r="A39" s="5"/>
      <c r="B39" s="5" t="s">
        <v>45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39"/>
      <c r="P39" s="39"/>
      <c r="R39" s="1" t="s">
        <v>20</v>
      </c>
      <c r="S39" s="14">
        <v>1500</v>
      </c>
    </row>
    <row r="40" spans="1:19" x14ac:dyDescent="0.75">
      <c r="A40" s="5"/>
      <c r="B40" s="5" t="s">
        <v>27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39"/>
      <c r="P40" s="39"/>
    </row>
    <row r="41" spans="1:19" x14ac:dyDescent="0.75">
      <c r="A41" s="5"/>
      <c r="B41" s="5" t="s">
        <v>28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9"/>
      <c r="P41" s="39"/>
    </row>
    <row r="42" spans="1:19" x14ac:dyDescent="0.75">
      <c r="A42" s="5" t="s">
        <v>52</v>
      </c>
      <c r="B42" s="5" t="s">
        <v>29</v>
      </c>
      <c r="C42" s="1"/>
      <c r="D42" s="1"/>
      <c r="E42" s="1"/>
      <c r="F42" s="1"/>
      <c r="G42" s="1" t="s">
        <v>53</v>
      </c>
      <c r="H42" s="1">
        <v>5</v>
      </c>
      <c r="I42" s="17">
        <v>5720</v>
      </c>
      <c r="J42" s="16">
        <f>(I42*S37)</f>
        <v>20020000</v>
      </c>
      <c r="K42" s="1"/>
      <c r="L42" s="1"/>
      <c r="M42" s="1"/>
      <c r="N42" s="14"/>
      <c r="O42" s="40">
        <f>J42</f>
        <v>20020000</v>
      </c>
      <c r="P42" s="39"/>
    </row>
    <row r="43" spans="1:19" x14ac:dyDescent="0.75">
      <c r="A43" s="5" t="s">
        <v>54</v>
      </c>
      <c r="B43" s="5" t="s">
        <v>30</v>
      </c>
      <c r="C43" s="1"/>
      <c r="D43" s="1"/>
      <c r="E43" s="1"/>
      <c r="F43" s="1"/>
      <c r="G43" s="1" t="s">
        <v>55</v>
      </c>
      <c r="H43" s="1">
        <v>8</v>
      </c>
      <c r="I43" s="17">
        <v>9152</v>
      </c>
      <c r="J43" s="16">
        <f>(I43*S37)</f>
        <v>32032000</v>
      </c>
      <c r="K43" s="1"/>
      <c r="L43" s="1"/>
      <c r="M43" s="1"/>
      <c r="N43" s="1"/>
      <c r="O43" s="40">
        <f>J43</f>
        <v>32032000</v>
      </c>
      <c r="P43" s="39"/>
    </row>
    <row r="44" spans="1:19" x14ac:dyDescent="0.75">
      <c r="A44" s="5" t="s">
        <v>56</v>
      </c>
      <c r="B44" s="5" t="s">
        <v>31</v>
      </c>
      <c r="C44" s="1"/>
      <c r="D44" s="1"/>
      <c r="E44" s="1"/>
      <c r="F44" s="1"/>
      <c r="G44" s="1" t="s">
        <v>57</v>
      </c>
      <c r="H44" s="1">
        <v>4</v>
      </c>
      <c r="I44" s="17">
        <v>4576</v>
      </c>
      <c r="J44" s="16">
        <f>(I44*S37)</f>
        <v>16016000</v>
      </c>
      <c r="K44" s="1"/>
      <c r="L44" s="1"/>
      <c r="M44" s="1"/>
      <c r="N44" s="1"/>
      <c r="O44" s="40">
        <f>J44</f>
        <v>16016000</v>
      </c>
      <c r="P44" s="39"/>
    </row>
    <row r="45" spans="1:19" x14ac:dyDescent="0.75">
      <c r="A45" s="5" t="s">
        <v>65</v>
      </c>
      <c r="B45" s="5" t="s">
        <v>32</v>
      </c>
      <c r="C45" s="1"/>
      <c r="D45" s="1"/>
      <c r="E45" s="1"/>
      <c r="F45" s="1"/>
      <c r="G45" s="1" t="s">
        <v>66</v>
      </c>
      <c r="H45" s="1">
        <v>2</v>
      </c>
      <c r="I45" s="17">
        <v>2274</v>
      </c>
      <c r="J45" s="16">
        <f>(I45*S37)</f>
        <v>7959000</v>
      </c>
      <c r="K45" s="1"/>
      <c r="L45" s="1"/>
      <c r="M45" s="1"/>
      <c r="N45" s="1"/>
      <c r="O45" s="40">
        <f>J45</f>
        <v>7959000</v>
      </c>
      <c r="P45" s="39"/>
    </row>
    <row r="46" spans="1:19" x14ac:dyDescent="0.75">
      <c r="A46" s="5" t="s">
        <v>67</v>
      </c>
      <c r="B46" s="5" t="s">
        <v>33</v>
      </c>
      <c r="C46" s="1">
        <v>12</v>
      </c>
      <c r="D46" s="1">
        <v>1</v>
      </c>
      <c r="E46" s="1">
        <v>223</v>
      </c>
      <c r="F46" s="16">
        <f>(E46*S33)</f>
        <v>1115000</v>
      </c>
      <c r="G46" s="1"/>
      <c r="H46" s="1"/>
      <c r="I46" s="1"/>
      <c r="J46" s="1"/>
      <c r="K46" s="1"/>
      <c r="L46" s="1"/>
      <c r="M46" s="1"/>
      <c r="N46" s="1"/>
      <c r="O46" s="40">
        <f>F46</f>
        <v>1115000</v>
      </c>
      <c r="P46" s="39"/>
    </row>
    <row r="47" spans="1:19" x14ac:dyDescent="0.75">
      <c r="A47" s="5" t="s">
        <v>68</v>
      </c>
      <c r="B47" s="5" t="s">
        <v>34</v>
      </c>
      <c r="C47" s="1">
        <v>19</v>
      </c>
      <c r="D47" s="1">
        <v>1</v>
      </c>
      <c r="E47" s="1">
        <v>223</v>
      </c>
      <c r="F47" s="16">
        <f>(E47*S33)</f>
        <v>1115000</v>
      </c>
      <c r="G47" s="1"/>
      <c r="H47" s="1"/>
      <c r="I47" s="1"/>
      <c r="J47" s="1"/>
      <c r="K47" s="1"/>
      <c r="L47" s="1"/>
      <c r="M47" s="1"/>
      <c r="N47" s="1"/>
      <c r="O47" s="40">
        <f>F47</f>
        <v>1115000</v>
      </c>
      <c r="P47" s="39"/>
    </row>
    <row r="48" spans="1:19" x14ac:dyDescent="0.75">
      <c r="A48" s="5" t="s">
        <v>70</v>
      </c>
      <c r="B48" s="5" t="s">
        <v>35</v>
      </c>
      <c r="C48" s="1" t="s">
        <v>72</v>
      </c>
      <c r="D48" s="1">
        <v>3</v>
      </c>
      <c r="E48" s="1">
        <v>669</v>
      </c>
      <c r="F48" s="16">
        <f>(E48*S33)</f>
        <v>3345000</v>
      </c>
      <c r="G48" s="1"/>
      <c r="H48" s="1"/>
      <c r="I48" s="1"/>
      <c r="J48" s="1"/>
      <c r="K48" s="1"/>
      <c r="L48" s="1"/>
      <c r="M48" s="1"/>
      <c r="N48" s="1"/>
      <c r="O48" s="40">
        <f>F48</f>
        <v>3345000</v>
      </c>
      <c r="P48" s="39"/>
    </row>
    <row r="49" spans="1:16" x14ac:dyDescent="0.75">
      <c r="A49" s="5" t="s">
        <v>74</v>
      </c>
      <c r="B49" s="5" t="s">
        <v>36</v>
      </c>
      <c r="C49" s="1" t="s">
        <v>75</v>
      </c>
      <c r="D49" s="1">
        <v>4</v>
      </c>
      <c r="E49" s="1">
        <v>892</v>
      </c>
      <c r="F49" s="16">
        <f>(E49*S33)</f>
        <v>4460000</v>
      </c>
      <c r="G49" s="1">
        <v>21</v>
      </c>
      <c r="H49" s="1">
        <v>1</v>
      </c>
      <c r="I49" s="1">
        <v>1144</v>
      </c>
      <c r="J49" s="16">
        <f>(I49*S37)</f>
        <v>4004000</v>
      </c>
      <c r="K49" s="1"/>
      <c r="L49" s="1"/>
      <c r="M49" s="1"/>
      <c r="N49" s="1"/>
      <c r="O49" s="40">
        <f>F49+J49</f>
        <v>8464000</v>
      </c>
      <c r="P49" s="39"/>
    </row>
    <row r="50" spans="1:16" x14ac:dyDescent="0.75">
      <c r="A50" s="5" t="s">
        <v>76</v>
      </c>
      <c r="B50" s="5" t="s">
        <v>37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39"/>
      <c r="P50" s="39"/>
    </row>
    <row r="51" spans="1:16" x14ac:dyDescent="0.75">
      <c r="A51" s="5" t="s">
        <v>76</v>
      </c>
      <c r="B51" s="5" t="s">
        <v>38</v>
      </c>
      <c r="C51" t="s">
        <v>77</v>
      </c>
      <c r="D51" s="1">
        <v>10</v>
      </c>
      <c r="E51" s="1">
        <v>2230</v>
      </c>
      <c r="F51" s="16">
        <f>(E51*S33)</f>
        <v>11150000</v>
      </c>
      <c r="G51" s="1"/>
      <c r="O51" s="40">
        <f>F51</f>
        <v>11150000</v>
      </c>
      <c r="P51" s="39"/>
    </row>
    <row r="52" spans="1:16" x14ac:dyDescent="0.75">
      <c r="A52" s="5" t="s">
        <v>78</v>
      </c>
      <c r="B52" s="5" t="s">
        <v>39</v>
      </c>
      <c r="G52" s="18" t="s">
        <v>79</v>
      </c>
      <c r="H52" s="1" t="s">
        <v>80</v>
      </c>
      <c r="I52" s="1">
        <v>1480</v>
      </c>
      <c r="J52" s="16">
        <f>(I52*S37)</f>
        <v>5180000</v>
      </c>
      <c r="O52" s="40">
        <f>J52</f>
        <v>5180000</v>
      </c>
      <c r="P52" s="39"/>
    </row>
    <row r="53" spans="1:16" x14ac:dyDescent="0.75">
      <c r="A53" s="5" t="s">
        <v>78</v>
      </c>
      <c r="B53" s="5" t="s">
        <v>40</v>
      </c>
      <c r="G53" s="18" t="s">
        <v>81</v>
      </c>
      <c r="H53" s="1" t="s">
        <v>82</v>
      </c>
      <c r="I53" s="1">
        <v>497.7</v>
      </c>
      <c r="J53" s="16">
        <f>(I53*S37)</f>
        <v>1741950</v>
      </c>
      <c r="K53" s="18" t="s">
        <v>81</v>
      </c>
      <c r="L53" s="1" t="s">
        <v>82</v>
      </c>
      <c r="M53" s="1">
        <v>497.7</v>
      </c>
      <c r="N53" s="16">
        <f>(M53*S38)</f>
        <v>746550</v>
      </c>
      <c r="O53" s="40">
        <f>N53+J53</f>
        <v>2488500</v>
      </c>
      <c r="P53" s="39"/>
    </row>
    <row r="54" spans="1:16" x14ac:dyDescent="0.75">
      <c r="A54" s="5" t="s">
        <v>78</v>
      </c>
      <c r="B54" s="5" t="s">
        <v>86</v>
      </c>
      <c r="G54" s="1"/>
      <c r="I54" s="1"/>
      <c r="J54" s="1"/>
      <c r="K54" s="1"/>
      <c r="L54" s="1"/>
      <c r="M54" s="1"/>
      <c r="N54" s="1"/>
      <c r="O54" s="38"/>
      <c r="P54" s="38"/>
    </row>
    <row r="55" spans="1:16" x14ac:dyDescent="0.75">
      <c r="A55" s="5"/>
      <c r="B55" s="5"/>
      <c r="C55" s="18"/>
      <c r="D55" s="18"/>
      <c r="E55" s="18"/>
      <c r="F55" s="18"/>
      <c r="G55" s="1"/>
      <c r="H55" s="1"/>
      <c r="I55" s="1"/>
      <c r="J55" s="1"/>
      <c r="K55" s="1"/>
      <c r="L55" s="1"/>
      <c r="M55" s="1"/>
      <c r="N55" s="1"/>
      <c r="O55" s="38"/>
      <c r="P55" s="38"/>
    </row>
    <row r="56" spans="1:16" x14ac:dyDescent="0.75">
      <c r="A56" s="5" t="s">
        <v>133</v>
      </c>
      <c r="B56" s="5" t="s">
        <v>135</v>
      </c>
      <c r="C56" s="1">
        <v>21</v>
      </c>
      <c r="D56" s="1">
        <v>1</v>
      </c>
      <c r="E56" s="1">
        <v>223</v>
      </c>
      <c r="F56" s="15">
        <f>(S33*E56)</f>
        <v>1115000</v>
      </c>
      <c r="G56" s="1"/>
      <c r="H56" s="1"/>
      <c r="I56" s="1"/>
      <c r="J56" s="1"/>
      <c r="K56" s="1" t="s">
        <v>136</v>
      </c>
      <c r="L56" s="1">
        <v>10</v>
      </c>
      <c r="M56" s="1">
        <v>9450</v>
      </c>
      <c r="N56" s="15">
        <f>(M56*S38)</f>
        <v>14175000</v>
      </c>
      <c r="O56" s="38">
        <f>(N56+F56)</f>
        <v>15290000</v>
      </c>
      <c r="P56" s="38"/>
    </row>
    <row r="57" spans="1:16" x14ac:dyDescent="0.75">
      <c r="A57" s="5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8"/>
      <c r="P57" s="38"/>
    </row>
    <row r="58" spans="1:16" x14ac:dyDescent="0.75">
      <c r="A58" s="5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8"/>
      <c r="P58" s="38"/>
    </row>
    <row r="59" spans="1:16" x14ac:dyDescent="0.75">
      <c r="A59" s="5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8"/>
      <c r="P59" s="38"/>
    </row>
    <row r="60" spans="1:16" x14ac:dyDescent="0.75">
      <c r="A60" s="5"/>
      <c r="B60" s="5"/>
      <c r="G60" s="1"/>
      <c r="I60" s="1"/>
      <c r="J60" s="1"/>
      <c r="K60" s="1"/>
      <c r="L60" s="1"/>
      <c r="M60" s="1"/>
      <c r="N60" s="1"/>
      <c r="O60" s="38"/>
      <c r="P60" s="38"/>
    </row>
    <row r="61" spans="1:16" x14ac:dyDescent="0.75">
      <c r="A61" s="5"/>
      <c r="B61" s="5"/>
      <c r="G61" s="1"/>
      <c r="I61" s="1"/>
      <c r="J61" s="1"/>
      <c r="K61" s="1"/>
      <c r="L61" s="1"/>
      <c r="M61" s="1"/>
      <c r="N61" s="1"/>
      <c r="O61" s="38"/>
      <c r="P61" s="38"/>
    </row>
    <row r="62" spans="1:16" x14ac:dyDescent="0.75">
      <c r="A62" s="5"/>
      <c r="B62" s="5"/>
      <c r="G62" s="1"/>
      <c r="I62" s="1"/>
      <c r="J62" s="1"/>
      <c r="K62" s="1"/>
      <c r="L62" s="1"/>
      <c r="M62" s="1"/>
      <c r="N62" s="1"/>
      <c r="O62" s="38"/>
      <c r="P62" s="38"/>
    </row>
    <row r="63" spans="1:16" x14ac:dyDescent="0.75">
      <c r="A63" s="5"/>
      <c r="B63" s="5"/>
      <c r="G63" s="1"/>
      <c r="I63" s="1"/>
      <c r="J63" s="1"/>
      <c r="K63" s="1"/>
      <c r="L63" s="1"/>
      <c r="M63" s="1"/>
      <c r="N63" s="1"/>
      <c r="O63" s="48">
        <f>SUM(O35:P56)</f>
        <v>124174500</v>
      </c>
      <c r="P63" s="48"/>
    </row>
    <row r="64" spans="1:16" x14ac:dyDescent="0.75">
      <c r="A64" s="5"/>
      <c r="B64" s="5"/>
      <c r="O64" s="48"/>
      <c r="P64" s="48"/>
    </row>
    <row r="67" spans="1:19" x14ac:dyDescent="0.75">
      <c r="A67" s="42" t="s">
        <v>48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R67" s="12" t="s">
        <v>19</v>
      </c>
      <c r="S67" s="14">
        <v>7000</v>
      </c>
    </row>
    <row r="68" spans="1:19" ht="16" x14ac:dyDescent="0.75">
      <c r="A68" s="41" t="s">
        <v>51</v>
      </c>
      <c r="B68" s="41" t="s">
        <v>7</v>
      </c>
      <c r="C68" s="43" t="s">
        <v>16</v>
      </c>
      <c r="D68" s="44"/>
      <c r="E68" s="44"/>
      <c r="F68" s="44"/>
      <c r="G68" s="44" t="s">
        <v>17</v>
      </c>
      <c r="H68" s="44"/>
      <c r="I68" s="44"/>
      <c r="J68" s="44"/>
      <c r="K68" s="44" t="s">
        <v>18</v>
      </c>
      <c r="L68" s="44"/>
      <c r="M68" s="44"/>
      <c r="N68" s="45"/>
      <c r="O68" s="46" t="s">
        <v>12</v>
      </c>
      <c r="P68" s="47"/>
      <c r="R68" s="1" t="s">
        <v>16</v>
      </c>
      <c r="S68" s="14">
        <v>3500</v>
      </c>
    </row>
    <row r="69" spans="1:19" x14ac:dyDescent="0.75">
      <c r="A69" s="41"/>
      <c r="B69" s="41"/>
      <c r="C69" s="3" t="s">
        <v>10</v>
      </c>
      <c r="D69" s="3" t="s">
        <v>25</v>
      </c>
      <c r="E69" s="3" t="s">
        <v>9</v>
      </c>
      <c r="F69" s="4" t="s">
        <v>11</v>
      </c>
      <c r="G69" s="3" t="s">
        <v>10</v>
      </c>
      <c r="H69" s="3" t="s">
        <v>25</v>
      </c>
      <c r="I69" s="3" t="s">
        <v>9</v>
      </c>
      <c r="J69" s="4" t="s">
        <v>11</v>
      </c>
      <c r="K69" s="3" t="s">
        <v>10</v>
      </c>
      <c r="L69" s="3" t="s">
        <v>25</v>
      </c>
      <c r="M69" s="3" t="s">
        <v>9</v>
      </c>
      <c r="N69" s="4" t="s">
        <v>11</v>
      </c>
      <c r="O69" s="46"/>
      <c r="P69" s="47"/>
      <c r="R69" s="11" t="s">
        <v>21</v>
      </c>
      <c r="S69" s="14">
        <v>3500</v>
      </c>
    </row>
    <row r="70" spans="1:19" x14ac:dyDescent="0.75">
      <c r="A70" s="5"/>
      <c r="B70" s="5" t="s">
        <v>41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9"/>
      <c r="P70" s="39"/>
      <c r="S70" s="10"/>
    </row>
    <row r="71" spans="1:19" x14ac:dyDescent="0.75">
      <c r="A71" s="5" t="s">
        <v>89</v>
      </c>
      <c r="B71" s="5" t="s">
        <v>42</v>
      </c>
      <c r="C71" s="1" t="s">
        <v>90</v>
      </c>
      <c r="D71" s="1" t="s">
        <v>91</v>
      </c>
      <c r="E71" s="1">
        <v>1316.75</v>
      </c>
      <c r="F71" s="15">
        <f>(E71*S68)</f>
        <v>4608625</v>
      </c>
      <c r="G71" s="1" t="s">
        <v>90</v>
      </c>
      <c r="H71" s="1">
        <v>5</v>
      </c>
      <c r="I71" s="1">
        <v>6226.55</v>
      </c>
      <c r="J71" s="15">
        <f>(I71*S72)</f>
        <v>15566375</v>
      </c>
      <c r="K71" s="1"/>
      <c r="L71" s="1"/>
      <c r="M71" s="1"/>
      <c r="N71" s="1"/>
      <c r="O71" s="40">
        <f>J71+F71</f>
        <v>20175000</v>
      </c>
      <c r="P71" s="39"/>
      <c r="R71" s="12" t="s">
        <v>19</v>
      </c>
      <c r="S71" s="14">
        <v>7000</v>
      </c>
    </row>
    <row r="72" spans="1:19" x14ac:dyDescent="0.75">
      <c r="A72" s="5" t="s">
        <v>97</v>
      </c>
      <c r="B72" s="5" t="s">
        <v>43</v>
      </c>
      <c r="C72" s="1" t="s">
        <v>99</v>
      </c>
      <c r="D72" s="1">
        <v>10</v>
      </c>
      <c r="E72" s="1">
        <v>2237</v>
      </c>
      <c r="F72" s="15">
        <f>(E72*S68)</f>
        <v>7829500</v>
      </c>
      <c r="G72" s="1" t="s">
        <v>98</v>
      </c>
      <c r="H72" s="1">
        <v>5</v>
      </c>
      <c r="I72" s="1">
        <v>6225</v>
      </c>
      <c r="J72" s="15">
        <f>(I72*S72)</f>
        <v>15562500</v>
      </c>
      <c r="K72" s="1"/>
      <c r="L72" s="1"/>
      <c r="M72" s="1"/>
      <c r="N72" s="1"/>
      <c r="O72" s="40">
        <f>J72+F72</f>
        <v>23392000</v>
      </c>
      <c r="P72" s="39"/>
      <c r="R72" s="1" t="s">
        <v>17</v>
      </c>
      <c r="S72" s="14">
        <v>2500</v>
      </c>
    </row>
    <row r="73" spans="1:19" x14ac:dyDescent="0.75">
      <c r="A73" s="5" t="s">
        <v>105</v>
      </c>
      <c r="B73" s="5" t="s">
        <v>44</v>
      </c>
      <c r="C73" s="1" t="s">
        <v>106</v>
      </c>
      <c r="D73" s="1">
        <v>4</v>
      </c>
      <c r="E73" s="1">
        <v>980</v>
      </c>
      <c r="F73" s="15">
        <f>(E73*S68)</f>
        <v>3430000</v>
      </c>
      <c r="G73" s="1" t="s">
        <v>106</v>
      </c>
      <c r="H73" s="1">
        <v>4</v>
      </c>
      <c r="I73" s="1">
        <v>4980</v>
      </c>
      <c r="J73" s="15">
        <f>(I73*S72)</f>
        <v>12450000</v>
      </c>
      <c r="K73" s="1"/>
      <c r="L73" s="1"/>
      <c r="M73" s="1"/>
      <c r="N73" s="1"/>
      <c r="O73" s="40">
        <f>J73+F73</f>
        <v>15880000</v>
      </c>
      <c r="P73" s="39"/>
      <c r="R73" s="11" t="s">
        <v>18</v>
      </c>
      <c r="S73" s="14">
        <v>1000</v>
      </c>
    </row>
    <row r="74" spans="1:19" x14ac:dyDescent="0.75">
      <c r="A74" s="5" t="s">
        <v>133</v>
      </c>
      <c r="B74" s="5" t="s">
        <v>135</v>
      </c>
      <c r="C74" s="1">
        <v>19</v>
      </c>
      <c r="D74" s="1">
        <v>1</v>
      </c>
      <c r="E74" s="1">
        <v>223</v>
      </c>
      <c r="F74" s="15">
        <f>(E74*S68)</f>
        <v>780500</v>
      </c>
      <c r="G74" s="1">
        <v>19</v>
      </c>
      <c r="H74" s="1">
        <v>1</v>
      </c>
      <c r="I74" s="1">
        <v>1245</v>
      </c>
      <c r="J74" s="15">
        <f>(S72*I74)</f>
        <v>3112500</v>
      </c>
      <c r="K74" s="1" t="s">
        <v>137</v>
      </c>
      <c r="L74" s="1">
        <v>18</v>
      </c>
      <c r="M74" s="1">
        <v>17010</v>
      </c>
      <c r="N74" s="15">
        <f>(M74*S73)</f>
        <v>17010000</v>
      </c>
      <c r="O74" s="40">
        <f>(N74+J74+F74)</f>
        <v>20903000</v>
      </c>
      <c r="P74" s="39"/>
      <c r="R74" s="1" t="s">
        <v>21</v>
      </c>
      <c r="S74" s="14">
        <v>3500</v>
      </c>
    </row>
    <row r="75" spans="1:19" x14ac:dyDescent="0.75">
      <c r="A75" s="5"/>
      <c r="B75" s="5" t="s">
        <v>27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9"/>
      <c r="P75" s="39"/>
    </row>
    <row r="76" spans="1:19" x14ac:dyDescent="0.75">
      <c r="A76" s="5"/>
      <c r="B76" s="5" t="s">
        <v>28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9"/>
      <c r="P76" s="39"/>
    </row>
    <row r="77" spans="1:19" x14ac:dyDescent="0.75">
      <c r="A77" s="5"/>
      <c r="B77" s="5" t="s">
        <v>29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39"/>
      <c r="P77" s="39"/>
    </row>
    <row r="78" spans="1:19" x14ac:dyDescent="0.75">
      <c r="A78" s="5"/>
      <c r="B78" s="5" t="s">
        <v>30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9"/>
      <c r="P78" s="39"/>
    </row>
    <row r="79" spans="1:19" x14ac:dyDescent="0.75">
      <c r="A79" s="5"/>
      <c r="B79" s="5" t="s">
        <v>31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39"/>
      <c r="P79" s="39"/>
    </row>
    <row r="80" spans="1:19" x14ac:dyDescent="0.75">
      <c r="A80" s="5"/>
      <c r="B80" s="5" t="s">
        <v>32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9"/>
      <c r="P80" s="39"/>
    </row>
    <row r="81" spans="1:19" x14ac:dyDescent="0.75">
      <c r="A81" s="5"/>
      <c r="B81" s="5" t="s">
        <v>33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9"/>
      <c r="P81" s="39"/>
    </row>
    <row r="82" spans="1:19" x14ac:dyDescent="0.75">
      <c r="A82" s="5"/>
      <c r="B82" s="5" t="s">
        <v>34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9"/>
      <c r="P82" s="39"/>
    </row>
    <row r="83" spans="1:19" x14ac:dyDescent="0.75">
      <c r="A83" s="5"/>
      <c r="B83" s="5" t="s">
        <v>35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39"/>
      <c r="P83" s="39"/>
    </row>
    <row r="84" spans="1:19" x14ac:dyDescent="0.75">
      <c r="A84" s="5"/>
      <c r="B84" s="5" t="s">
        <v>36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9"/>
      <c r="P84" s="39"/>
    </row>
    <row r="85" spans="1:19" x14ac:dyDescent="0.75">
      <c r="A85" s="5"/>
      <c r="B85" s="5" t="s">
        <v>37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39"/>
      <c r="P85" s="39"/>
    </row>
    <row r="86" spans="1:19" x14ac:dyDescent="0.75">
      <c r="A86" s="5"/>
      <c r="B86" s="5" t="s">
        <v>38</v>
      </c>
      <c r="O86" s="39"/>
      <c r="P86" s="39"/>
    </row>
    <row r="87" spans="1:19" x14ac:dyDescent="0.75">
      <c r="A87" s="5"/>
      <c r="B87" s="5" t="s">
        <v>39</v>
      </c>
      <c r="O87" s="39"/>
      <c r="P87" s="39"/>
    </row>
    <row r="88" spans="1:19" x14ac:dyDescent="0.75">
      <c r="A88" s="5"/>
      <c r="B88" s="5" t="s">
        <v>40</v>
      </c>
      <c r="O88" s="48">
        <f>SUM(O70:P86)</f>
        <v>80350000</v>
      </c>
      <c r="P88" s="48"/>
    </row>
    <row r="89" spans="1:19" x14ac:dyDescent="0.75">
      <c r="A89" s="5"/>
      <c r="B89" s="5" t="s">
        <v>86</v>
      </c>
      <c r="O89" s="48"/>
      <c r="P89" s="48"/>
    </row>
    <row r="90" spans="1:19" x14ac:dyDescent="0.75">
      <c r="A90" s="5"/>
    </row>
    <row r="91" spans="1:19" x14ac:dyDescent="0.75">
      <c r="A91" s="5"/>
    </row>
    <row r="92" spans="1:19" x14ac:dyDescent="0.75">
      <c r="A92" s="5"/>
    </row>
    <row r="93" spans="1:19" x14ac:dyDescent="0.75">
      <c r="A93" s="5"/>
      <c r="B93" s="42" t="s">
        <v>49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R93" s="12" t="s">
        <v>19</v>
      </c>
      <c r="S93" s="14">
        <v>7000</v>
      </c>
    </row>
    <row r="94" spans="1:19" ht="16" x14ac:dyDescent="0.75">
      <c r="A94" s="5"/>
      <c r="B94" s="41" t="s">
        <v>7</v>
      </c>
      <c r="C94" s="43" t="s">
        <v>16</v>
      </c>
      <c r="D94" s="44"/>
      <c r="E94" s="44"/>
      <c r="F94" s="44"/>
      <c r="G94" s="44" t="s">
        <v>17</v>
      </c>
      <c r="H94" s="44"/>
      <c r="I94" s="44"/>
      <c r="J94" s="44"/>
      <c r="K94" s="44" t="s">
        <v>17</v>
      </c>
      <c r="L94" s="44"/>
      <c r="M94" s="44"/>
      <c r="N94" s="45"/>
      <c r="O94" s="46" t="s">
        <v>12</v>
      </c>
      <c r="P94" s="47"/>
      <c r="R94" s="1" t="s">
        <v>16</v>
      </c>
      <c r="S94" s="14">
        <v>3500</v>
      </c>
    </row>
    <row r="95" spans="1:19" x14ac:dyDescent="0.75">
      <c r="A95" s="5"/>
      <c r="B95" s="41"/>
      <c r="C95" s="3" t="s">
        <v>10</v>
      </c>
      <c r="D95" s="3" t="s">
        <v>25</v>
      </c>
      <c r="E95" s="3" t="s">
        <v>9</v>
      </c>
      <c r="F95" s="4" t="s">
        <v>11</v>
      </c>
      <c r="G95" s="3" t="s">
        <v>10</v>
      </c>
      <c r="H95" s="3" t="s">
        <v>25</v>
      </c>
      <c r="I95" s="3" t="s">
        <v>9</v>
      </c>
      <c r="J95" s="4" t="s">
        <v>11</v>
      </c>
      <c r="K95" s="3" t="s">
        <v>10</v>
      </c>
      <c r="L95" s="3" t="s">
        <v>25</v>
      </c>
      <c r="M95" s="3" t="s">
        <v>9</v>
      </c>
      <c r="N95" s="4" t="s">
        <v>11</v>
      </c>
      <c r="O95" s="46"/>
      <c r="P95" s="47"/>
      <c r="R95" s="11" t="s">
        <v>21</v>
      </c>
      <c r="S95" s="14">
        <v>3500</v>
      </c>
    </row>
    <row r="96" spans="1:19" x14ac:dyDescent="0.75">
      <c r="A96" s="5"/>
      <c r="B96" s="5" t="s">
        <v>8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39"/>
      <c r="P96" s="39"/>
      <c r="S96" s="10"/>
    </row>
    <row r="97" spans="1:19" x14ac:dyDescent="0.75">
      <c r="A97" s="5"/>
      <c r="B97" s="5" t="s">
        <v>15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9"/>
      <c r="P97" s="39"/>
      <c r="R97" s="12" t="s">
        <v>19</v>
      </c>
      <c r="S97" s="14">
        <v>7000</v>
      </c>
    </row>
    <row r="98" spans="1:19" x14ac:dyDescent="0.75">
      <c r="A98" s="5"/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9"/>
      <c r="P98" s="39"/>
      <c r="R98" s="1" t="s">
        <v>17</v>
      </c>
      <c r="S98" s="14">
        <v>2500</v>
      </c>
    </row>
    <row r="99" spans="1:19" x14ac:dyDescent="0.75">
      <c r="B99" s="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9"/>
      <c r="P99" s="39"/>
      <c r="R99" s="11" t="s">
        <v>18</v>
      </c>
      <c r="S99" s="14">
        <v>1000</v>
      </c>
    </row>
    <row r="100" spans="1:19" x14ac:dyDescent="0.75"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39"/>
      <c r="P100" s="39"/>
      <c r="R100" s="1" t="s">
        <v>21</v>
      </c>
      <c r="S100" s="14">
        <v>3500</v>
      </c>
    </row>
    <row r="101" spans="1:19" x14ac:dyDescent="0.75"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39"/>
      <c r="P101" s="39"/>
    </row>
    <row r="102" spans="1:19" x14ac:dyDescent="0.75"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39"/>
      <c r="P102" s="39"/>
    </row>
    <row r="103" spans="1:19" x14ac:dyDescent="0.75"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9"/>
      <c r="P103" s="39"/>
    </row>
    <row r="104" spans="1:19" x14ac:dyDescent="0.75"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9"/>
      <c r="P104" s="39"/>
    </row>
    <row r="105" spans="1:19" x14ac:dyDescent="0.75"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9"/>
      <c r="P105" s="39"/>
    </row>
    <row r="106" spans="1:19" x14ac:dyDescent="0.75"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39"/>
      <c r="P106" s="39"/>
    </row>
    <row r="107" spans="1:19" x14ac:dyDescent="0.75"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39"/>
      <c r="P107" s="39"/>
    </row>
    <row r="108" spans="1:19" x14ac:dyDescent="0.75"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39"/>
      <c r="P108" s="39"/>
    </row>
    <row r="109" spans="1:19" x14ac:dyDescent="0.75"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39"/>
      <c r="P109" s="39"/>
    </row>
    <row r="110" spans="1:19" x14ac:dyDescent="0.75"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39"/>
      <c r="P110" s="39"/>
    </row>
    <row r="111" spans="1:19" x14ac:dyDescent="0.75"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9"/>
      <c r="P111" s="39"/>
    </row>
    <row r="112" spans="1:19" x14ac:dyDescent="0.75">
      <c r="B112" s="5"/>
      <c r="O112" s="39"/>
      <c r="P112" s="39"/>
    </row>
    <row r="113" spans="2:20" x14ac:dyDescent="0.75">
      <c r="B113" s="5"/>
      <c r="O113" s="39"/>
      <c r="P113" s="39"/>
    </row>
    <row r="114" spans="2:20" x14ac:dyDescent="0.75">
      <c r="B114" s="5"/>
      <c r="O114" s="39"/>
      <c r="P114" s="39"/>
    </row>
    <row r="115" spans="2:20" x14ac:dyDescent="0.75">
      <c r="B115" s="5"/>
      <c r="O115" s="39"/>
      <c r="P115" s="39"/>
    </row>
    <row r="119" spans="2:20" x14ac:dyDescent="0.75">
      <c r="B119" s="42" t="s">
        <v>50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R119" s="12" t="s">
        <v>19</v>
      </c>
      <c r="S119" s="14">
        <v>7000</v>
      </c>
      <c r="T119" s="1"/>
    </row>
    <row r="120" spans="2:20" ht="16" x14ac:dyDescent="0.75">
      <c r="B120" s="41" t="s">
        <v>7</v>
      </c>
      <c r="C120" s="43" t="s">
        <v>16</v>
      </c>
      <c r="D120" s="44"/>
      <c r="E120" s="44"/>
      <c r="F120" s="44"/>
      <c r="G120" s="44" t="s">
        <v>17</v>
      </c>
      <c r="H120" s="44"/>
      <c r="I120" s="44"/>
      <c r="J120" s="44"/>
      <c r="K120" s="44" t="s">
        <v>17</v>
      </c>
      <c r="L120" s="44"/>
      <c r="M120" s="44"/>
      <c r="N120" s="45"/>
      <c r="O120" s="46" t="s">
        <v>12</v>
      </c>
      <c r="P120" s="47"/>
      <c r="R120" s="1" t="s">
        <v>16</v>
      </c>
      <c r="S120" s="14">
        <v>3500</v>
      </c>
      <c r="T120" s="1"/>
    </row>
    <row r="121" spans="2:20" x14ac:dyDescent="0.75">
      <c r="B121" s="41"/>
      <c r="C121" s="3" t="s">
        <v>10</v>
      </c>
      <c r="D121" s="3" t="s">
        <v>25</v>
      </c>
      <c r="E121" s="3" t="s">
        <v>9</v>
      </c>
      <c r="F121" s="4" t="s">
        <v>11</v>
      </c>
      <c r="G121" s="3" t="s">
        <v>10</v>
      </c>
      <c r="H121" s="3" t="s">
        <v>25</v>
      </c>
      <c r="I121" s="3" t="s">
        <v>9</v>
      </c>
      <c r="J121" s="4" t="s">
        <v>11</v>
      </c>
      <c r="K121" s="3" t="s">
        <v>10</v>
      </c>
      <c r="L121" s="3" t="s">
        <v>25</v>
      </c>
      <c r="M121" s="3" t="s">
        <v>9</v>
      </c>
      <c r="N121" s="4" t="s">
        <v>11</v>
      </c>
      <c r="O121" s="46"/>
      <c r="P121" s="47"/>
      <c r="R121" s="11" t="s">
        <v>21</v>
      </c>
      <c r="S121" s="14">
        <v>3500</v>
      </c>
      <c r="T121" s="11"/>
    </row>
    <row r="122" spans="2:20" x14ac:dyDescent="0.75">
      <c r="B122" s="5" t="s">
        <v>8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39"/>
      <c r="P122" s="39"/>
      <c r="S122" s="10"/>
    </row>
    <row r="123" spans="2:20" x14ac:dyDescent="0.75">
      <c r="B123" s="5" t="s">
        <v>15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39"/>
      <c r="P123" s="39"/>
      <c r="R123" s="12" t="s">
        <v>19</v>
      </c>
      <c r="S123" s="14">
        <v>7000</v>
      </c>
    </row>
    <row r="124" spans="2:20" x14ac:dyDescent="0.75"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39"/>
      <c r="P124" s="39"/>
      <c r="R124" s="1" t="s">
        <v>17</v>
      </c>
      <c r="S124" s="14">
        <v>2500</v>
      </c>
    </row>
    <row r="125" spans="2:20" x14ac:dyDescent="0.75"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39"/>
      <c r="P125" s="39"/>
      <c r="R125" s="11" t="s">
        <v>18</v>
      </c>
      <c r="S125" s="14">
        <v>1000</v>
      </c>
    </row>
    <row r="126" spans="2:20" x14ac:dyDescent="0.75"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39"/>
      <c r="P126" s="39"/>
      <c r="R126" s="1" t="s">
        <v>21</v>
      </c>
      <c r="S126" s="14">
        <v>3500</v>
      </c>
    </row>
    <row r="127" spans="2:20" x14ac:dyDescent="0.75"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39"/>
      <c r="P127" s="39"/>
    </row>
    <row r="128" spans="2:20" x14ac:dyDescent="0.75"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39"/>
      <c r="P128" s="39"/>
    </row>
    <row r="129" spans="2:16" x14ac:dyDescent="0.75"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39"/>
      <c r="P129" s="39"/>
    </row>
    <row r="130" spans="2:16" x14ac:dyDescent="0.75"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39"/>
      <c r="P130" s="39"/>
    </row>
    <row r="131" spans="2:16" x14ac:dyDescent="0.75"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39"/>
      <c r="P131" s="39"/>
    </row>
    <row r="132" spans="2:16" x14ac:dyDescent="0.75"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39"/>
      <c r="P132" s="39"/>
    </row>
    <row r="133" spans="2:16" x14ac:dyDescent="0.75"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39"/>
      <c r="P133" s="39"/>
    </row>
    <row r="134" spans="2:16" x14ac:dyDescent="0.75"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39"/>
      <c r="P134" s="39"/>
    </row>
    <row r="135" spans="2:16" x14ac:dyDescent="0.75"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39"/>
      <c r="P135" s="39"/>
    </row>
    <row r="136" spans="2:16" x14ac:dyDescent="0.75"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39"/>
      <c r="P136" s="39"/>
    </row>
    <row r="137" spans="2:16" x14ac:dyDescent="0.75"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39"/>
      <c r="P137" s="39"/>
    </row>
    <row r="138" spans="2:16" x14ac:dyDescent="0.75">
      <c r="B138" s="5"/>
      <c r="O138" s="39"/>
      <c r="P138" s="39"/>
    </row>
    <row r="139" spans="2:16" x14ac:dyDescent="0.75">
      <c r="B139" s="5"/>
      <c r="O139" s="39"/>
      <c r="P139" s="39"/>
    </row>
    <row r="140" spans="2:16" x14ac:dyDescent="0.75">
      <c r="B140" s="5"/>
      <c r="O140" s="39"/>
      <c r="P140" s="39"/>
    </row>
    <row r="141" spans="2:16" x14ac:dyDescent="0.75">
      <c r="B141" s="5"/>
      <c r="O141" s="39"/>
      <c r="P141" s="39"/>
    </row>
    <row r="146" spans="2:19" x14ac:dyDescent="0.75">
      <c r="B146" s="42" t="s">
        <v>26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R146" s="1" t="s">
        <v>22</v>
      </c>
      <c r="S146" s="14">
        <v>3500</v>
      </c>
    </row>
    <row r="147" spans="2:19" ht="16" x14ac:dyDescent="0.75">
      <c r="B147" s="41" t="s">
        <v>7</v>
      </c>
      <c r="C147" s="43" t="s">
        <v>24</v>
      </c>
      <c r="D147" s="44"/>
      <c r="E147" s="44"/>
      <c r="F147" s="44"/>
      <c r="G147" s="44" t="s">
        <v>23</v>
      </c>
      <c r="H147" s="44"/>
      <c r="I147" s="44"/>
      <c r="J147" s="44"/>
      <c r="K147" s="44" t="s">
        <v>22</v>
      </c>
      <c r="L147" s="44"/>
      <c r="M147" s="44"/>
      <c r="N147" s="44"/>
      <c r="O147" s="46" t="s">
        <v>12</v>
      </c>
      <c r="P147" s="47"/>
      <c r="R147" s="1" t="s">
        <v>23</v>
      </c>
      <c r="S147" s="14">
        <v>3500</v>
      </c>
    </row>
    <row r="148" spans="2:19" x14ac:dyDescent="0.75">
      <c r="B148" s="41"/>
      <c r="C148" s="3" t="s">
        <v>10</v>
      </c>
      <c r="D148" s="3" t="s">
        <v>25</v>
      </c>
      <c r="E148" s="3" t="s">
        <v>9</v>
      </c>
      <c r="F148" s="4" t="s">
        <v>11</v>
      </c>
      <c r="G148" s="3" t="s">
        <v>10</v>
      </c>
      <c r="H148" s="3" t="s">
        <v>25</v>
      </c>
      <c r="I148" s="3" t="s">
        <v>9</v>
      </c>
      <c r="J148" s="4" t="s">
        <v>11</v>
      </c>
      <c r="K148" s="3" t="s">
        <v>10</v>
      </c>
      <c r="L148" s="3" t="s">
        <v>25</v>
      </c>
      <c r="M148" s="3" t="s">
        <v>9</v>
      </c>
      <c r="N148" s="3" t="s">
        <v>11</v>
      </c>
      <c r="O148" s="46"/>
      <c r="P148" s="47"/>
      <c r="R148" s="11" t="s">
        <v>24</v>
      </c>
      <c r="S148" s="14">
        <v>1500</v>
      </c>
    </row>
    <row r="149" spans="2:19" x14ac:dyDescent="0.75">
      <c r="B149" s="5" t="s">
        <v>8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9"/>
      <c r="N149" s="14"/>
      <c r="O149" s="39"/>
      <c r="P149" s="39"/>
      <c r="S149" s="10"/>
    </row>
    <row r="150" spans="2:19" x14ac:dyDescent="0.75">
      <c r="B150" s="5" t="s">
        <v>15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39"/>
      <c r="P150" s="39"/>
      <c r="R150" s="12"/>
      <c r="S150" s="13"/>
    </row>
    <row r="151" spans="2:19" x14ac:dyDescent="0.75"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39"/>
      <c r="P151" s="39"/>
      <c r="R151" s="1"/>
      <c r="S151" s="10"/>
    </row>
    <row r="152" spans="2:19" x14ac:dyDescent="0.75"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39"/>
      <c r="P152" s="39"/>
      <c r="R152" s="11"/>
      <c r="S152" s="10"/>
    </row>
    <row r="153" spans="2:19" x14ac:dyDescent="0.75"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39"/>
      <c r="P153" s="39"/>
      <c r="R153" s="1"/>
      <c r="S153" s="10"/>
    </row>
    <row r="154" spans="2:19" x14ac:dyDescent="0.75"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39"/>
      <c r="P154" s="39"/>
    </row>
    <row r="155" spans="2:19" x14ac:dyDescent="0.75"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39"/>
      <c r="P155" s="39"/>
    </row>
    <row r="156" spans="2:19" x14ac:dyDescent="0.75"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39"/>
      <c r="P156" s="39"/>
    </row>
    <row r="157" spans="2:19" x14ac:dyDescent="0.75"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39"/>
      <c r="P157" s="39"/>
    </row>
    <row r="158" spans="2:19" x14ac:dyDescent="0.75"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39"/>
      <c r="P158" s="39"/>
    </row>
    <row r="159" spans="2:19" x14ac:dyDescent="0.75"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39"/>
      <c r="P159" s="39"/>
    </row>
    <row r="160" spans="2:19" x14ac:dyDescent="0.75"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39"/>
      <c r="P160" s="39"/>
    </row>
    <row r="161" spans="2:16" x14ac:dyDescent="0.75"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39"/>
      <c r="P161" s="39"/>
    </row>
    <row r="162" spans="2:16" x14ac:dyDescent="0.75"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39"/>
      <c r="P162" s="39"/>
    </row>
    <row r="163" spans="2:16" x14ac:dyDescent="0.75"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39"/>
      <c r="P163" s="39"/>
    </row>
    <row r="164" spans="2:16" x14ac:dyDescent="0.75"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39"/>
      <c r="P164" s="39"/>
    </row>
    <row r="165" spans="2:16" x14ac:dyDescent="0.75">
      <c r="B165" s="5"/>
      <c r="O165" s="39"/>
      <c r="P165" s="39"/>
    </row>
    <row r="166" spans="2:16" x14ac:dyDescent="0.75">
      <c r="B166" s="5"/>
      <c r="O166" s="39"/>
      <c r="P166" s="39"/>
    </row>
    <row r="167" spans="2:16" x14ac:dyDescent="0.75">
      <c r="B167" s="5"/>
      <c r="O167" s="39"/>
      <c r="P167" s="39"/>
    </row>
    <row r="168" spans="2:16" x14ac:dyDescent="0.75">
      <c r="B168" s="5"/>
      <c r="O168" s="39"/>
      <c r="P168" s="39"/>
    </row>
  </sheetData>
  <mergeCells count="173">
    <mergeCell ref="O63:P64"/>
    <mergeCell ref="O88:P89"/>
    <mergeCell ref="O150:P150"/>
    <mergeCell ref="O151:P151"/>
    <mergeCell ref="O152:P152"/>
    <mergeCell ref="O153:P153"/>
    <mergeCell ref="O154:P154"/>
    <mergeCell ref="O155:P155"/>
    <mergeCell ref="B146:P146"/>
    <mergeCell ref="B147:B148"/>
    <mergeCell ref="C147:F147"/>
    <mergeCell ref="G147:J147"/>
    <mergeCell ref="K147:N147"/>
    <mergeCell ref="O147:P148"/>
    <mergeCell ref="O149:P149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56:P156"/>
    <mergeCell ref="O157:P157"/>
    <mergeCell ref="O158:P158"/>
    <mergeCell ref="O168:P168"/>
    <mergeCell ref="O159:P159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39:P139"/>
    <mergeCell ref="O140:P140"/>
    <mergeCell ref="O141:P14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0:P130"/>
    <mergeCell ref="O18:P18"/>
    <mergeCell ref="O19:P19"/>
    <mergeCell ref="O20:P20"/>
    <mergeCell ref="O21:P21"/>
    <mergeCell ref="O22:P22"/>
    <mergeCell ref="O24:P24"/>
    <mergeCell ref="O25:P25"/>
    <mergeCell ref="B119:P119"/>
    <mergeCell ref="B120:B121"/>
    <mergeCell ref="C120:F120"/>
    <mergeCell ref="G120:J120"/>
    <mergeCell ref="O120:P121"/>
    <mergeCell ref="K120:N120"/>
    <mergeCell ref="O38:P38"/>
    <mergeCell ref="O39:P39"/>
    <mergeCell ref="O40:P40"/>
    <mergeCell ref="O41:P41"/>
    <mergeCell ref="O42:P42"/>
    <mergeCell ref="B33:B34"/>
    <mergeCell ref="C33:F33"/>
    <mergeCell ref="G33:J33"/>
    <mergeCell ref="K33:N33"/>
    <mergeCell ref="O33:P34"/>
    <mergeCell ref="O35:P35"/>
    <mergeCell ref="O8:P8"/>
    <mergeCell ref="O9:P9"/>
    <mergeCell ref="O10:P10"/>
    <mergeCell ref="O11:P11"/>
    <mergeCell ref="O12:P12"/>
    <mergeCell ref="O13:P13"/>
    <mergeCell ref="O14:P14"/>
    <mergeCell ref="O15:P15"/>
    <mergeCell ref="O17:P17"/>
    <mergeCell ref="O16:P16"/>
    <mergeCell ref="O2:P3"/>
    <mergeCell ref="K2:N2"/>
    <mergeCell ref="C2:F2"/>
    <mergeCell ref="B2:B3"/>
    <mergeCell ref="G2:J2"/>
    <mergeCell ref="O4:P4"/>
    <mergeCell ref="O5:P5"/>
    <mergeCell ref="O6:P6"/>
    <mergeCell ref="O7:P7"/>
    <mergeCell ref="O83:P83"/>
    <mergeCell ref="O84:P84"/>
    <mergeCell ref="O75:P75"/>
    <mergeCell ref="O76:P76"/>
    <mergeCell ref="O77:P77"/>
    <mergeCell ref="O78:P78"/>
    <mergeCell ref="O79:P79"/>
    <mergeCell ref="O70:P70"/>
    <mergeCell ref="O71:P71"/>
    <mergeCell ref="O72:P72"/>
    <mergeCell ref="O73:P73"/>
    <mergeCell ref="O74:P74"/>
    <mergeCell ref="O114:P114"/>
    <mergeCell ref="O115:P115"/>
    <mergeCell ref="O106:P106"/>
    <mergeCell ref="O107:P107"/>
    <mergeCell ref="O108:P108"/>
    <mergeCell ref="O109:P109"/>
    <mergeCell ref="O110:P110"/>
    <mergeCell ref="O101:P101"/>
    <mergeCell ref="O102:P102"/>
    <mergeCell ref="O103:P103"/>
    <mergeCell ref="O104:P104"/>
    <mergeCell ref="O105:P105"/>
    <mergeCell ref="A1:P1"/>
    <mergeCell ref="A33:A34"/>
    <mergeCell ref="A32:P32"/>
    <mergeCell ref="O111:P111"/>
    <mergeCell ref="O112:P112"/>
    <mergeCell ref="O113:P113"/>
    <mergeCell ref="O96:P96"/>
    <mergeCell ref="O97:P97"/>
    <mergeCell ref="O98:P98"/>
    <mergeCell ref="O99:P99"/>
    <mergeCell ref="O100:P100"/>
    <mergeCell ref="B93:P93"/>
    <mergeCell ref="B94:B95"/>
    <mergeCell ref="C94:F94"/>
    <mergeCell ref="G94:J94"/>
    <mergeCell ref="K94:N94"/>
    <mergeCell ref="O94:P95"/>
    <mergeCell ref="O85:P85"/>
    <mergeCell ref="O86:P86"/>
    <mergeCell ref="O87:P87"/>
    <mergeCell ref="O23:P23"/>
    <mergeCell ref="O80:P80"/>
    <mergeCell ref="O81:P81"/>
    <mergeCell ref="O82:P82"/>
    <mergeCell ref="O52:P52"/>
    <mergeCell ref="O43:P43"/>
    <mergeCell ref="O44:P44"/>
    <mergeCell ref="O45:P45"/>
    <mergeCell ref="O46:P46"/>
    <mergeCell ref="O47:P47"/>
    <mergeCell ref="A68:A69"/>
    <mergeCell ref="A67:P67"/>
    <mergeCell ref="A2:A3"/>
    <mergeCell ref="O53:P53"/>
    <mergeCell ref="B68:B69"/>
    <mergeCell ref="C68:F68"/>
    <mergeCell ref="G68:J68"/>
    <mergeCell ref="K68:N68"/>
    <mergeCell ref="O68:P69"/>
    <mergeCell ref="O62:P62"/>
    <mergeCell ref="O54:P54"/>
    <mergeCell ref="O55:P55"/>
    <mergeCell ref="O56:P56"/>
    <mergeCell ref="O57:P57"/>
    <mergeCell ref="O58:P58"/>
    <mergeCell ref="O59:P59"/>
    <mergeCell ref="O60:P60"/>
    <mergeCell ref="O61:P61"/>
    <mergeCell ref="O26:P26"/>
    <mergeCell ref="O27:P27"/>
    <mergeCell ref="O28:P28"/>
    <mergeCell ref="O36:P36"/>
    <mergeCell ref="O37:P37"/>
    <mergeCell ref="O48:P48"/>
    <mergeCell ref="O49:P49"/>
    <mergeCell ref="O50:P50"/>
    <mergeCell ref="O51:P51"/>
    <mergeCell ref="O29:P30"/>
  </mergeCells>
  <phoneticPr fontId="4" type="noConversion"/>
  <pageMargins left="0.7" right="0.7" top="0.75" bottom="0.75" header="0.3" footer="0.3"/>
  <pageSetup paperSize="9" scale="62" orientation="landscape" horizontalDpi="0" verticalDpi="0" r:id="rId1"/>
  <rowBreaks count="1" manualBreakCount="1">
    <brk id="31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Payment 1</vt:lpstr>
      <vt:lpstr>Total payment</vt:lpstr>
      <vt:lpstr>'Total payment'!Print_Area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 TECH</dc:creator>
  <cp:lastModifiedBy>Himdad Mirany</cp:lastModifiedBy>
  <cp:lastPrinted>2026-03-24T13:03:43Z</cp:lastPrinted>
  <dcterms:created xsi:type="dcterms:W3CDTF">2015-06-05T18:17:20Z</dcterms:created>
  <dcterms:modified xsi:type="dcterms:W3CDTF">2026-03-24T14:25:10Z</dcterms:modified>
</cp:coreProperties>
</file>